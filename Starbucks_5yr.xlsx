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jmsglobal1-my.sharepoint.com/personal/harshit_ajmsglobal_com/Documents/Desktop/Dissertation/"/>
    </mc:Choice>
  </mc:AlternateContent>
  <xr:revisionPtr revIDLastSave="26" documentId="11_9DEFFAE171338CF2DFD2F5D112267085EFCD3C2F" xr6:coauthVersionLast="47" xr6:coauthVersionMax="47" xr10:uidLastSave="{090E40FF-9404-469F-85B7-BC1860E23F19}"/>
  <bookViews>
    <workbookView xWindow="-110" yWindow="-110" windowWidth="19420" windowHeight="10300" tabRatio="500" activeTab="2" xr2:uid="{00000000-000D-0000-FFFF-FFFF00000000}"/>
  </bookViews>
  <sheets>
    <sheet name="IS" sheetId="1" r:id="rId1"/>
    <sheet name="Balance Sheet" sheetId="2" r:id="rId2"/>
    <sheet name="Cash Flow " sheetId="3" r:id="rId3"/>
    <sheet name="Assumption" sheetId="4" r:id="rId4"/>
    <sheet name="DCF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5" i="3" l="1"/>
  <c r="C62" i="5"/>
  <c r="C24" i="5"/>
  <c r="C22" i="5"/>
  <c r="C23" i="5" s="1"/>
  <c r="C15" i="5"/>
  <c r="C57" i="5" s="1"/>
  <c r="C14" i="5"/>
  <c r="C16" i="5" s="1"/>
  <c r="C11" i="5"/>
  <c r="G33" i="4"/>
  <c r="G30" i="4"/>
  <c r="G29" i="4"/>
  <c r="G28" i="4"/>
  <c r="G25" i="4"/>
  <c r="G22" i="4"/>
  <c r="G21" i="4"/>
  <c r="C17" i="5" s="1"/>
  <c r="G17" i="4"/>
  <c r="G16" i="4"/>
  <c r="G15" i="4"/>
  <c r="G14" i="4"/>
  <c r="G11" i="4"/>
  <c r="G8" i="4"/>
  <c r="G7" i="4"/>
  <c r="G6" i="4"/>
  <c r="G5" i="4"/>
  <c r="G4" i="4"/>
  <c r="G2" i="4"/>
  <c r="B32" i="2"/>
  <c r="B27" i="2"/>
  <c r="F20" i="2"/>
  <c r="F27" i="2" s="1"/>
  <c r="F32" i="2" s="1"/>
  <c r="B9" i="2"/>
  <c r="B18" i="2" s="1"/>
  <c r="G14" i="1"/>
  <c r="G9" i="1"/>
  <c r="G8" i="1"/>
  <c r="G7" i="1"/>
  <c r="E7" i="1"/>
  <c r="D7" i="1"/>
  <c r="C7" i="1"/>
  <c r="G6" i="1"/>
  <c r="F7" i="2" s="1"/>
  <c r="G5" i="1"/>
  <c r="G11" i="1" s="1"/>
  <c r="G41" i="3"/>
  <c r="H41" i="3" s="1"/>
  <c r="G29" i="3"/>
  <c r="G33" i="3" s="1"/>
  <c r="G17" i="3"/>
  <c r="G45" i="3" l="1"/>
  <c r="I41" i="3"/>
  <c r="H45" i="3"/>
  <c r="C18" i="5"/>
  <c r="C25" i="5"/>
  <c r="C26" i="5" s="1"/>
  <c r="C29" i="5" s="1"/>
  <c r="C27" i="5"/>
  <c r="D36" i="5"/>
  <c r="G18" i="3"/>
  <c r="G10" i="1"/>
  <c r="G7" i="3" s="1"/>
  <c r="F6" i="2"/>
  <c r="F12" i="2"/>
  <c r="G13" i="1"/>
  <c r="G15" i="1" s="1"/>
  <c r="G18" i="1" s="1"/>
  <c r="C60" i="5"/>
  <c r="G20" i="3"/>
  <c r="H5" i="1"/>
  <c r="G50" i="5" l="1"/>
  <c r="F50" i="5"/>
  <c r="E50" i="5"/>
  <c r="D50" i="5"/>
  <c r="C43" i="5"/>
  <c r="H50" i="5"/>
  <c r="G19" i="1"/>
  <c r="G20" i="1"/>
  <c r="H9" i="1"/>
  <c r="H17" i="3"/>
  <c r="H7" i="1"/>
  <c r="H6" i="1"/>
  <c r="G6" i="2"/>
  <c r="H10" i="1"/>
  <c r="H7" i="3" s="1"/>
  <c r="H29" i="3"/>
  <c r="H8" i="1"/>
  <c r="H11" i="1"/>
  <c r="I5" i="1"/>
  <c r="H20" i="3"/>
  <c r="J41" i="3"/>
  <c r="I45" i="3"/>
  <c r="H33" i="3" l="1"/>
  <c r="E36" i="5"/>
  <c r="G12" i="2"/>
  <c r="F36" i="2"/>
  <c r="G22" i="1"/>
  <c r="G23" i="1" s="1"/>
  <c r="G24" i="1" s="1"/>
  <c r="G5" i="3"/>
  <c r="G24" i="3" s="1"/>
  <c r="K41" i="3"/>
  <c r="K45" i="3" s="1"/>
  <c r="J45" i="3"/>
  <c r="G20" i="2"/>
  <c r="G27" i="2" s="1"/>
  <c r="G32" i="2" s="1"/>
  <c r="H13" i="1"/>
  <c r="H15" i="1" s="1"/>
  <c r="H18" i="1" s="1"/>
  <c r="H18" i="3"/>
  <c r="G7" i="2"/>
  <c r="I9" i="1"/>
  <c r="I17" i="3"/>
  <c r="I7" i="1"/>
  <c r="I6" i="1"/>
  <c r="H6" i="2"/>
  <c r="I10" i="1"/>
  <c r="I7" i="3" s="1"/>
  <c r="I29" i="3"/>
  <c r="I8" i="1"/>
  <c r="I11" i="1"/>
  <c r="J5" i="1"/>
  <c r="D35" i="5" l="1"/>
  <c r="D37" i="5" s="1"/>
  <c r="D51" i="5" s="1"/>
  <c r="G50" i="3"/>
  <c r="I33" i="3"/>
  <c r="F36" i="5"/>
  <c r="F38" i="2"/>
  <c r="F40" i="2" s="1"/>
  <c r="H20" i="2"/>
  <c r="H27" i="2" s="1"/>
  <c r="H32" i="2" s="1"/>
  <c r="I13" i="1"/>
  <c r="I15" i="1" s="1"/>
  <c r="I18" i="1" s="1"/>
  <c r="I18" i="3"/>
  <c r="H7" i="2"/>
  <c r="I20" i="3"/>
  <c r="H12" i="2"/>
  <c r="I12" i="2" s="1"/>
  <c r="H19" i="1"/>
  <c r="H20" i="1"/>
  <c r="G36" i="2" s="1"/>
  <c r="G38" i="2" s="1"/>
  <c r="G40" i="2" s="1"/>
  <c r="J7" i="1"/>
  <c r="J6" i="1" s="1"/>
  <c r="I6" i="2"/>
  <c r="J10" i="1"/>
  <c r="J7" i="3" s="1"/>
  <c r="J29" i="3"/>
  <c r="J8" i="1"/>
  <c r="J17" i="3"/>
  <c r="J11" i="1"/>
  <c r="K5" i="1"/>
  <c r="J9" i="1"/>
  <c r="J13" i="1" l="1"/>
  <c r="J15" i="1" s="1"/>
  <c r="J18" i="1" s="1"/>
  <c r="J18" i="3"/>
  <c r="I7" i="2"/>
  <c r="J20" i="3"/>
  <c r="I20" i="2"/>
  <c r="I27" i="2" s="1"/>
  <c r="I32" i="2" s="1"/>
  <c r="J12" i="2"/>
  <c r="H22" i="1"/>
  <c r="H23" i="1" s="1"/>
  <c r="H24" i="1" s="1"/>
  <c r="H5" i="3"/>
  <c r="H24" i="3" s="1"/>
  <c r="E35" i="5" s="1"/>
  <c r="E37" i="5" s="1"/>
  <c r="E51" i="5" s="1"/>
  <c r="F4" i="2"/>
  <c r="H49" i="3"/>
  <c r="G36" i="5"/>
  <c r="J33" i="3"/>
  <c r="K7" i="1"/>
  <c r="K6" i="1"/>
  <c r="J6" i="2"/>
  <c r="K10" i="1"/>
  <c r="K7" i="3" s="1"/>
  <c r="K29" i="3"/>
  <c r="K8" i="1"/>
  <c r="K11" i="1"/>
  <c r="K9" i="1"/>
  <c r="K17" i="3"/>
  <c r="I19" i="1"/>
  <c r="I20" i="1" s="1"/>
  <c r="I5" i="3" l="1"/>
  <c r="I24" i="3" s="1"/>
  <c r="F35" i="5" s="1"/>
  <c r="F37" i="5" s="1"/>
  <c r="F51" i="5" s="1"/>
  <c r="I22" i="1"/>
  <c r="I23" i="1" s="1"/>
  <c r="I24" i="1" s="1"/>
  <c r="H36" i="2"/>
  <c r="K18" i="3"/>
  <c r="J7" i="2"/>
  <c r="K20" i="3"/>
  <c r="J20" i="2"/>
  <c r="J27" i="2" s="1"/>
  <c r="J32" i="2" s="1"/>
  <c r="K13" i="1"/>
  <c r="K15" i="1" s="1"/>
  <c r="K18" i="1" s="1"/>
  <c r="H36" i="5"/>
  <c r="K33" i="3"/>
  <c r="H50" i="3"/>
  <c r="F9" i="2"/>
  <c r="F18" i="2" s="1"/>
  <c r="C58" i="5"/>
  <c r="J19" i="1"/>
  <c r="J20" i="1"/>
  <c r="J5" i="3" l="1"/>
  <c r="J24" i="3" s="1"/>
  <c r="G35" i="5" s="1"/>
  <c r="G37" i="5" s="1"/>
  <c r="G51" i="5" s="1"/>
  <c r="J22" i="1"/>
  <c r="J23" i="1" s="1"/>
  <c r="J24" i="1" s="1"/>
  <c r="G4" i="2"/>
  <c r="G9" i="2" s="1"/>
  <c r="G18" i="2" s="1"/>
  <c r="I49" i="3"/>
  <c r="I50" i="3" s="1"/>
  <c r="H38" i="2"/>
  <c r="H40" i="2" s="1"/>
  <c r="I36" i="2"/>
  <c r="K20" i="1"/>
  <c r="K19" i="1"/>
  <c r="I38" i="2" l="1"/>
  <c r="I40" i="2" s="1"/>
  <c r="J36" i="2"/>
  <c r="J38" i="2" s="1"/>
  <c r="J40" i="2" s="1"/>
  <c r="K24" i="3"/>
  <c r="H35" i="5" s="1"/>
  <c r="H37" i="5" s="1"/>
  <c r="K22" i="1"/>
  <c r="K23" i="1" s="1"/>
  <c r="K24" i="1" s="1"/>
  <c r="H4" i="2"/>
  <c r="H9" i="2" s="1"/>
  <c r="H18" i="2" s="1"/>
  <c r="J49" i="3"/>
  <c r="J50" i="3" s="1"/>
  <c r="K49" i="3" l="1"/>
  <c r="K50" i="3" s="1"/>
  <c r="J4" i="2" s="1"/>
  <c r="J9" i="2" s="1"/>
  <c r="J18" i="2" s="1"/>
  <c r="I4" i="2"/>
  <c r="I9" i="2" s="1"/>
  <c r="I18" i="2" s="1"/>
  <c r="H51" i="5"/>
  <c r="C53" i="5" s="1"/>
  <c r="C44" i="5"/>
  <c r="C54" i="5" s="1"/>
  <c r="C55" i="5" l="1"/>
  <c r="C59" i="5" s="1"/>
  <c r="C61" i="5" s="1"/>
  <c r="C63" i="5" s="1"/>
</calcChain>
</file>

<file path=xl/sharedStrings.xml><?xml version="1.0" encoding="utf-8"?>
<sst xmlns="http://schemas.openxmlformats.org/spreadsheetml/2006/main" count="274" uniqueCount="242">
  <si>
    <t>Consolidated Statements of Earnings - USD ($)</t>
  </si>
  <si>
    <t>12 Months Ended</t>
  </si>
  <si>
    <t>shares in Millions, $ in Millions</t>
  </si>
  <si>
    <t>Oct. 01, 2023</t>
  </si>
  <si>
    <t>Sep. 29, 2024</t>
  </si>
  <si>
    <t>Sep. 28, 2025</t>
  </si>
  <si>
    <t>2026 Projected</t>
  </si>
  <si>
    <t>2027 Projected</t>
  </si>
  <si>
    <t>2028 Projected</t>
  </si>
  <si>
    <t>2029 Projected</t>
  </si>
  <si>
    <t>2030 Projected</t>
  </si>
  <si>
    <t>Net Revenues:</t>
  </si>
  <si>
    <t>Revenues</t>
  </si>
  <si>
    <t>Product and distribution costs</t>
  </si>
  <si>
    <t xml:space="preserve">Gross Profit </t>
  </si>
  <si>
    <t>Store operating expenses</t>
  </si>
  <si>
    <t>Other operating expenses</t>
  </si>
  <si>
    <t>Depreciation and amortization expenses</t>
  </si>
  <si>
    <t>General and administrative expenses</t>
  </si>
  <si>
    <t>Restructuring and impairments</t>
  </si>
  <si>
    <t>Total operating expenses</t>
  </si>
  <si>
    <t>Income from equity investees</t>
  </si>
  <si>
    <t>Operating income</t>
  </si>
  <si>
    <t>Interest income and other, net</t>
  </si>
  <si>
    <t>Interest expense</t>
  </si>
  <si>
    <t>Earnings before income taxes</t>
  </si>
  <si>
    <t>Income tax expense</t>
  </si>
  <si>
    <t>Net earnings including noncontrolling interests</t>
  </si>
  <si>
    <t>Net earnings attributable to noncontrolling interest</t>
  </si>
  <si>
    <t>Net earnings attributable to Starbucks</t>
  </si>
  <si>
    <t>$ 4,124.5</t>
  </si>
  <si>
    <t>$ 3,760.9</t>
  </si>
  <si>
    <t>$ 1,856.4</t>
  </si>
  <si>
    <t>Earnings Per Share, Basic</t>
  </si>
  <si>
    <t>$ 3.60</t>
  </si>
  <si>
    <t>$ 3.32</t>
  </si>
  <si>
    <t>$ 1.63</t>
  </si>
  <si>
    <t>Earnings/(loss) Per Share, Diluted</t>
  </si>
  <si>
    <t>$ 3.58</t>
  </si>
  <si>
    <t>$ 3.31</t>
  </si>
  <si>
    <t>Weighted average shares outstanding:</t>
  </si>
  <si>
    <t>Basic</t>
  </si>
  <si>
    <t>Diluted</t>
  </si>
  <si>
    <t>Gain (Loss) on Disposition of Assets</t>
  </si>
  <si>
    <t>$ 91.3</t>
  </si>
  <si>
    <t>$ 0.0</t>
  </si>
  <si>
    <t>Company-Operated Stores [Member]</t>
  </si>
  <si>
    <t>Consolidated Balance Sheets - USD ($)</t>
  </si>
  <si>
    <t>Sep 29,2023(Historical)</t>
  </si>
  <si>
    <t>Sep. 29, 2024(Historical)</t>
  </si>
  <si>
    <t>Sep. 28, 2025 (Historical)</t>
  </si>
  <si>
    <t>2027(projected)</t>
  </si>
  <si>
    <t>2028(Projected)</t>
  </si>
  <si>
    <t>$ in Millions</t>
  </si>
  <si>
    <t>Current assets:</t>
  </si>
  <si>
    <t>Cash, Cash Equivalent, Restricted Cash, and Restricted Cash Equivalent, Continuing Operation</t>
  </si>
  <si>
    <t>$ 3,286.2</t>
  </si>
  <si>
    <t>$ 3,219.8</t>
  </si>
  <si>
    <t>Short-term Investments</t>
  </si>
  <si>
    <t>Accounts Receivable, net</t>
  </si>
  <si>
    <t>Inventory, Net</t>
  </si>
  <si>
    <t>Prepaid Expense and Other Assets, Current</t>
  </si>
  <si>
    <t>Assets, Current</t>
  </si>
  <si>
    <t>Long-term investments</t>
  </si>
  <si>
    <t>Equity Investments</t>
  </si>
  <si>
    <t>Property, Plant and Equipment, Net</t>
  </si>
  <si>
    <t>Operating Lease, Right-of-Use Asset</t>
  </si>
  <si>
    <t>Deferred Income Tax Assets, Net</t>
  </si>
  <si>
    <t>Other Assets, Noncurrent</t>
  </si>
  <si>
    <t>Intangible Assets, Net (Excluding Goodwill)</t>
  </si>
  <si>
    <t>Goodwill</t>
  </si>
  <si>
    <t>Assets</t>
  </si>
  <si>
    <t>Current liabilities:</t>
  </si>
  <si>
    <t>Accounts Payable, Current</t>
  </si>
  <si>
    <t>Accrued Liabilities, Current</t>
  </si>
  <si>
    <t>Accrued payroll and benefits</t>
  </si>
  <si>
    <t>Operating Lease, Liability, Current</t>
  </si>
  <si>
    <t>Deferred Revenue, Current</t>
  </si>
  <si>
    <t>Short-term Debt</t>
  </si>
  <si>
    <t>Long-term Debt, Current Maturities</t>
  </si>
  <si>
    <t>Liabilities, Current</t>
  </si>
  <si>
    <t>Long-term Debt, Excluding Current Maturities</t>
  </si>
  <si>
    <t>Operating Lease, Liability, Noncurrent</t>
  </si>
  <si>
    <t>Deferred Revenue, Noncurrent</t>
  </si>
  <si>
    <t>Deferred Tax and Other Liabilities, Noncurrent</t>
  </si>
  <si>
    <t>Liabilities</t>
  </si>
  <si>
    <t>Shareholders' equity/(deficit)</t>
  </si>
  <si>
    <t>Common stock ($0.001 par value) - authorized 2,400.0 shares; issued and outstanding 1,136.9 and 1,133.5 shares, respectively</t>
  </si>
  <si>
    <t>Additional Paid in Capital, Common Stock</t>
  </si>
  <si>
    <t>Retained Earnings (Accumulated Deficit)</t>
  </si>
  <si>
    <t>Accumulated Other Comprehensive Income (Loss), Net of Tax</t>
  </si>
  <si>
    <t>Stockholders' Equity/(Deficit) Attributable to Parent</t>
  </si>
  <si>
    <t>Stockholders' Equity Attributable to Noncontrolling Interest</t>
  </si>
  <si>
    <t>Stockholders' Equity/(Deficit), Including Portion Attributable to Noncontrolling Interest</t>
  </si>
  <si>
    <t>Liabilities and Shareholders' Equity/(Deficit)</t>
  </si>
  <si>
    <t>$ 31,339.3</t>
  </si>
  <si>
    <t>$ 32,019.7</t>
  </si>
  <si>
    <t>Common stock, par value</t>
  </si>
  <si>
    <t>$ 0.001</t>
  </si>
  <si>
    <t>Authorized shares of common stock</t>
  </si>
  <si>
    <t>Common Stock, Shares, Issued</t>
  </si>
  <si>
    <t>Common Stock, Shares, Outstanding</t>
  </si>
  <si>
    <t>Consolidated Statements of Cash Flows - USD ($)</t>
  </si>
  <si>
    <t>OPERATING ACTIVITIES:</t>
  </si>
  <si>
    <t>$ 4,124.7</t>
  </si>
  <si>
    <t>$ 3,762.3</t>
  </si>
  <si>
    <t>$ 1,856.7</t>
  </si>
  <si>
    <t>Adjustments to reconcile net earnings to net cash provided by operating activities:</t>
  </si>
  <si>
    <t>Depreciation and amortization</t>
  </si>
  <si>
    <t>Deferred income taxes, net</t>
  </si>
  <si>
    <t>Income earned from equity method investees</t>
  </si>
  <si>
    <t>Distributions received from equity method investees</t>
  </si>
  <si>
    <t>Stock-based compensation</t>
  </si>
  <si>
    <t>Non-cash Lease Cost</t>
  </si>
  <si>
    <t>Loss on retirement and impairment of assets</t>
  </si>
  <si>
    <t>Other</t>
  </si>
  <si>
    <t>Cash provided/(used) by changes in operating assets and liabilities:</t>
  </si>
  <si>
    <t>Accounts receivable</t>
  </si>
  <si>
    <t>Inventories</t>
  </si>
  <si>
    <t>Income Taxes Payable</t>
  </si>
  <si>
    <t>Accounts payable</t>
  </si>
  <si>
    <t>Deferred revenue</t>
  </si>
  <si>
    <t>Operating lease liability</t>
  </si>
  <si>
    <t>Other operating assets and liabilities</t>
  </si>
  <si>
    <t>Cash Provided by (Used in) Operating Activity, Including Discontinued Operation</t>
  </si>
  <si>
    <t>INVESTING ACTIVITIES:</t>
  </si>
  <si>
    <t>Purchases of investments</t>
  </si>
  <si>
    <t>Proceeds from Sales of Assets, Investing Activities</t>
  </si>
  <si>
    <t>Maturities and calls of investments</t>
  </si>
  <si>
    <t>Additions to property, plant and equipment</t>
  </si>
  <si>
    <t>Payments to Acquire Businesses, Net of Cash Acquired</t>
  </si>
  <si>
    <t>Proceeds from Sale of Productive Assets</t>
  </si>
  <si>
    <t>Net cash used by investing activities</t>
  </si>
  <si>
    <t>FINANCING ACTIVITIES:</t>
  </si>
  <si>
    <t>Proceeds from (Repayments of) Commercial Paper</t>
  </si>
  <si>
    <t>Proceeds from issuance of short-term debt</t>
  </si>
  <si>
    <t>Repayments of Short-term Debt</t>
  </si>
  <si>
    <t>Proceeds from issuance of long-term debt</t>
  </si>
  <si>
    <t>Repayments of long-term debt</t>
  </si>
  <si>
    <t>Proceeds from issuance of common stock</t>
  </si>
  <si>
    <t>Cash dividends paid</t>
  </si>
  <si>
    <t>Repurchase of common stock</t>
  </si>
  <si>
    <t>Minimum tax withholdings on share-based awards</t>
  </si>
  <si>
    <t>Net cash used by financing activities</t>
  </si>
  <si>
    <t>Effect of Exchange Rate on Cash, Cash Equivalent, Restricted Cash, and Restricted Cash Equivalent, Continuing Operation</t>
  </si>
  <si>
    <t>Cash, Cash Equivalents, Restricted Cash, and Restricted Cash Equivalents, Period Increase (Decrease), Including Exchange Rate Effect, Total</t>
  </si>
  <si>
    <t>CASH AND CASH EQUIVALENTS:</t>
  </si>
  <si>
    <t>Cash, Cash Equivalents, Restricted Cash, and Restricted Cash Equivalents, Beginning Balance</t>
  </si>
  <si>
    <t>Cash, Cash Equivalents, Restricted Cash, and Restricted Cash Equivalents, Ending Balance</t>
  </si>
  <si>
    <t>Cash paid during the period for:</t>
  </si>
  <si>
    <t>Interest, net of capitalized interest</t>
  </si>
  <si>
    <t>Income taxes, net of refunds</t>
  </si>
  <si>
    <t>$ 1,294.2</t>
  </si>
  <si>
    <t>$ 1,373.3</t>
  </si>
  <si>
    <t>$ 715.6</t>
  </si>
  <si>
    <t>Assumptions</t>
  </si>
  <si>
    <t>Historical Avg</t>
  </si>
  <si>
    <t>Bear</t>
  </si>
  <si>
    <t>Base</t>
  </si>
  <si>
    <t>Bull</t>
  </si>
  <si>
    <t>ACTIVE</t>
  </si>
  <si>
    <t>Select Scenario</t>
  </si>
  <si>
    <t xml:space="preserve">Revenue </t>
  </si>
  <si>
    <t>Revenue Growth FY2026</t>
  </si>
  <si>
    <t>Revenue Growth FY2027</t>
  </si>
  <si>
    <t>Revenue Growth FY2028</t>
  </si>
  <si>
    <t>Revenue Growth FY2029</t>
  </si>
  <si>
    <t>Revenue Growth FY2030</t>
  </si>
  <si>
    <t>Margins</t>
  </si>
  <si>
    <t>Gross Margin %</t>
  </si>
  <si>
    <t>Operating Expenses</t>
  </si>
  <si>
    <t>Store Opex %</t>
  </si>
  <si>
    <t>G&amp;A %</t>
  </si>
  <si>
    <t>D&amp;A %</t>
  </si>
  <si>
    <t>Other Operating %</t>
  </si>
  <si>
    <t>Restructuring</t>
  </si>
  <si>
    <t>Tax &amp; Interest</t>
  </si>
  <si>
    <t>Tax Rate %</t>
  </si>
  <si>
    <t>Interest Expense ($M)</t>
  </si>
  <si>
    <t>Capex</t>
  </si>
  <si>
    <t>Capex % of Revenue</t>
  </si>
  <si>
    <t>Working Capital</t>
  </si>
  <si>
    <t>DSO (Receivable Days)</t>
  </si>
  <si>
    <t>DIO (Inventory Days)</t>
  </si>
  <si>
    <t>DPO (Payable Days)</t>
  </si>
  <si>
    <t>Dividends</t>
  </si>
  <si>
    <t>Dividend Growth %</t>
  </si>
  <si>
    <t>All figures in $ millions unless noted</t>
  </si>
  <si>
    <t>WACC — Inputs &amp; Calculation</t>
  </si>
  <si>
    <t>Cost of Equity (CAPM)</t>
  </si>
  <si>
    <t>Risk-free rate (10Y UST)</t>
  </si>
  <si>
    <t>Beta</t>
  </si>
  <si>
    <t>Equity risk premium</t>
  </si>
  <si>
    <t>Cost of Equity = Rf + Beta × ERP</t>
  </si>
  <si>
    <t>Cost of Debt</t>
  </si>
  <si>
    <t>Interest expense (from IS, FY26 avg)</t>
  </si>
  <si>
    <t>Total debt (from BS, FY26)</t>
  </si>
  <si>
    <t>Pre-tax Cost of Debt</t>
  </si>
  <si>
    <t>Tax rate (from Assumption)</t>
  </si>
  <si>
    <t>After-tax Cost of Debt</t>
  </si>
  <si>
    <t>Capital Structure</t>
  </si>
  <si>
    <t>Share price (input, $)</t>
  </si>
  <si>
    <t>Shares outstanding (mm)</t>
  </si>
  <si>
    <t>Market cap ($M)</t>
  </si>
  <si>
    <t>Total debt ($M)</t>
  </si>
  <si>
    <t>Total capital ($M)</t>
  </si>
  <si>
    <t>Weight of Equity (E/V)</t>
  </si>
  <si>
    <t>Weight of Debt (D/V)</t>
  </si>
  <si>
    <t>WACC = (E/V × Re) + (D/V × Rd × (1-t))</t>
  </si>
  <si>
    <t>Free Cash Flow to Firm (FCFF) — CFO less Capex approach</t>
  </si>
  <si>
    <t>Cash from Operations (CFO)</t>
  </si>
  <si>
    <t>Less: Capex (positive value)</t>
  </si>
  <si>
    <t>FCFF = CFO − Capex</t>
  </si>
  <si>
    <t>Terminal Value</t>
  </si>
  <si>
    <t>Terminal growth rate (g)</t>
  </si>
  <si>
    <t>WACC (from above)</t>
  </si>
  <si>
    <t>Terminal Value at end of FY30 = FCFF_FY30 × (1+g) / (WACC − g)</t>
  </si>
  <si>
    <t>DCF Valuation</t>
  </si>
  <si>
    <t>Year (from valuation date)</t>
  </si>
  <si>
    <t>Discount factor = 1 / (1+WACC)^n</t>
  </si>
  <si>
    <t>PV of FCFF</t>
  </si>
  <si>
    <t>Sum of PV of FCFF (FY26–FY30)</t>
  </si>
  <si>
    <t>PV of Terminal Value = TV × discount factor FY30</t>
  </si>
  <si>
    <t>Enterprise Value</t>
  </si>
  <si>
    <t>Less: Total debt (FY26)</t>
  </si>
  <si>
    <t>Plus: Cash &amp; short-term investments (FY26)</t>
  </si>
  <si>
    <t>Equity Value</t>
  </si>
  <si>
    <t>Implied Share Price ($)</t>
  </si>
  <si>
    <t>Current share price (input)</t>
  </si>
  <si>
    <t>Upside / (Downside) vs current</t>
  </si>
  <si>
    <t>Legend:</t>
  </si>
  <si>
    <t>Blue text = hardcoded input</t>
  </si>
  <si>
    <t>Green text = link to another sheet</t>
  </si>
  <si>
    <t>Yellow fill = key input to change scenario</t>
  </si>
  <si>
    <t>Key assumptions &amp; sources:</t>
  </si>
  <si>
    <t>Risk-free rate: US 10Y Treasury yield (~4.3%)</t>
  </si>
  <si>
    <t>Beta: 0.90 (SBUX historical ~5Y beta)</t>
  </si>
  <si>
    <t>ERP: 5.5% (Damodaran / market consensus)</t>
  </si>
  <si>
    <t>Share price: $105 (approx SBUX price late 2026); update to today's price</t>
  </si>
  <si>
    <t>Terminal growth 2.5%: long-run global GDP growth proxy</t>
  </si>
  <si>
    <t>FY29/FY30 revenue growth tapered toward mid-single-digit (analyst LT view)</t>
  </si>
  <si>
    <t>Starbucks Corp (SBUX) - DCF 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</si>
</sst>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₹ &quot;#,##0.00"/>
    <numFmt numFmtId="165" formatCode="0.0"/>
    <numFmt numFmtId="166" formatCode="0.0%;\(0.0%\);\-"/>
    <numFmt numFmtId="167" formatCode="0.00\x"/>
    <numFmt numFmtId="168" formatCode="0.0%"/>
    <numFmt numFmtId="169" formatCode="\$#,##0.0;&quot;($&quot;#,##0.0\);\-"/>
    <numFmt numFmtId="170" formatCode="\$0.00"/>
    <numFmt numFmtId="171" formatCode="&quot;FY&quot;0"/>
    <numFmt numFmtId="172" formatCode="0.0000"/>
  </numFmts>
  <fonts count="20">
    <font>
      <sz val="11"/>
      <color theme="1"/>
      <name val="Calibri"/>
      <family val="2"/>
      <charset val="1"/>
    </font>
    <font>
      <b/>
      <sz val="8"/>
      <color rgb="FF000000"/>
      <name val="Arial"/>
      <family val="2"/>
      <charset val="1"/>
    </font>
    <font>
      <u/>
      <sz val="11"/>
      <color theme="10"/>
      <name val="Calibri"/>
      <family val="2"/>
      <charset val="1"/>
    </font>
    <font>
      <sz val="8"/>
      <color rgb="FF000000"/>
      <name val="Arial"/>
      <family val="2"/>
      <charset val="1"/>
    </font>
    <font>
      <b/>
      <sz val="11"/>
      <color theme="1"/>
      <name val="Calibri"/>
      <family val="2"/>
      <charset val="1"/>
    </font>
    <font>
      <sz val="10"/>
      <color theme="1"/>
      <name val="Arial Unicode MS"/>
      <charset val="1"/>
    </font>
    <font>
      <b/>
      <sz val="10"/>
      <color theme="1"/>
      <name val="Arial Unicode MS"/>
      <charset val="1"/>
    </font>
    <font>
      <sz val="10"/>
      <name val="Arial"/>
      <charset val="1"/>
    </font>
    <font>
      <i/>
      <sz val="9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2"/>
      <color rgb="FFFFFFFF"/>
      <name val="Arial"/>
      <charset val="1"/>
    </font>
    <font>
      <sz val="11"/>
      <color theme="1"/>
      <name val="Calibri"/>
      <family val="2"/>
      <charset val="1"/>
    </font>
    <font>
      <sz val="9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AACCFF"/>
        <bgColor rgb="FFC0C0C0"/>
      </patternFill>
    </fill>
    <fill>
      <patternFill patternType="solid">
        <fgColor rgb="FFDDEEFF"/>
        <bgColor rgb="FFDAE3F3"/>
      </patternFill>
    </fill>
    <fill>
      <patternFill patternType="solid">
        <fgColor theme="4" tint="0.39988402966399123"/>
        <bgColor rgb="FF969696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4" tint="0.79989013336588644"/>
        <bgColor rgb="FFDDEEFF"/>
      </patternFill>
    </fill>
    <fill>
      <patternFill patternType="solid">
        <fgColor rgb="FFF2F2F2"/>
        <bgColor rgb="FFDDEEFF"/>
      </patternFill>
    </fill>
    <fill>
      <patternFill patternType="solid">
        <fgColor rgb="FF305496"/>
        <bgColor rgb="FF0563C1"/>
      </patternFill>
    </fill>
  </fills>
  <borders count="21">
    <border>
      <left/>
      <right/>
      <top/>
      <bottom/>
      <diagonal/>
    </border>
    <border>
      <left style="medium">
        <color rgb="FFAACCFF"/>
      </left>
      <right/>
      <top style="medium">
        <color rgb="FFAACCFF"/>
      </top>
      <bottom/>
      <diagonal/>
    </border>
    <border>
      <left/>
      <right/>
      <top style="medium">
        <color rgb="FFAACCFF"/>
      </top>
      <bottom/>
      <diagonal/>
    </border>
    <border>
      <left/>
      <right style="medium">
        <color rgb="FFAACCFF"/>
      </right>
      <top style="medium">
        <color rgb="FFAACCFF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rgb="FFAACCFF"/>
      </left>
      <right/>
      <top/>
      <bottom/>
      <diagonal/>
    </border>
    <border>
      <left/>
      <right style="medium">
        <color rgb="FFAACCFF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rgb="FFAACCFF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rgb="FFAACCFF"/>
      </bottom>
      <diagonal/>
    </border>
    <border>
      <left style="medium">
        <color rgb="FFAACCFF"/>
      </left>
      <right/>
      <top/>
      <bottom style="medium">
        <color rgb="FFAACCFF"/>
      </bottom>
      <diagonal/>
    </border>
    <border>
      <left/>
      <right style="medium">
        <color rgb="FFAACCFF"/>
      </right>
      <top/>
      <bottom style="medium">
        <color rgb="FFAACCFF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/>
      <diagonal/>
    </border>
  </borders>
  <cellStyleXfs count="3">
    <xf numFmtId="0" fontId="0" fillId="0" borderId="0"/>
    <xf numFmtId="9" fontId="16" fillId="0" borderId="0"/>
    <xf numFmtId="0" fontId="2" fillId="0" borderId="0"/>
  </cellStyleXfs>
  <cellXfs count="170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5" borderId="0" xfId="0" applyFill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3" borderId="6" xfId="2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2" fillId="4" borderId="9" xfId="2" applyFill="1" applyBorder="1" applyAlignment="1">
      <alignment horizontal="left" vertical="top" wrapText="1"/>
    </xf>
    <xf numFmtId="0" fontId="3" fillId="4" borderId="0" xfId="0" applyFont="1" applyFill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2" fillId="5" borderId="6" xfId="2" applyFill="1" applyBorder="1" applyAlignment="1">
      <alignment horizontal="left" vertical="top" wrapText="1"/>
    </xf>
    <xf numFmtId="4" fontId="3" fillId="5" borderId="7" xfId="0" applyNumberFormat="1" applyFont="1" applyFill="1" applyBorder="1" applyAlignment="1">
      <alignment horizontal="right" vertical="center" indent="2"/>
    </xf>
    <xf numFmtId="4" fontId="3" fillId="5" borderId="0" xfId="0" applyNumberFormat="1" applyFont="1" applyFill="1" applyAlignment="1">
      <alignment horizontal="right" vertical="center" indent="2"/>
    </xf>
    <xf numFmtId="4" fontId="3" fillId="0" borderId="9" xfId="0" applyNumberFormat="1" applyFont="1" applyBorder="1" applyAlignment="1">
      <alignment horizontal="right" vertical="center" indent="2"/>
    </xf>
    <xf numFmtId="4" fontId="3" fillId="0" borderId="0" xfId="0" applyNumberFormat="1" applyFont="1" applyAlignment="1">
      <alignment horizontal="right" vertical="center" indent="2"/>
    </xf>
    <xf numFmtId="4" fontId="3" fillId="0" borderId="10" xfId="0" applyNumberFormat="1" applyFont="1" applyBorder="1" applyAlignment="1">
      <alignment horizontal="right" vertical="center" indent="2"/>
    </xf>
    <xf numFmtId="4" fontId="3" fillId="3" borderId="7" xfId="0" applyNumberFormat="1" applyFont="1" applyFill="1" applyBorder="1" applyAlignment="1">
      <alignment horizontal="right" vertical="center" indent="2"/>
    </xf>
    <xf numFmtId="4" fontId="3" fillId="3" borderId="0" xfId="0" applyNumberFormat="1" applyFont="1" applyFill="1" applyAlignment="1">
      <alignment horizontal="right" vertical="center" indent="2"/>
    </xf>
    <xf numFmtId="4" fontId="3" fillId="4" borderId="9" xfId="0" applyNumberFormat="1" applyFont="1" applyFill="1" applyBorder="1" applyAlignment="1">
      <alignment horizontal="right" vertical="center" indent="2"/>
    </xf>
    <xf numFmtId="4" fontId="3" fillId="4" borderId="0" xfId="0" applyNumberFormat="1" applyFont="1" applyFill="1" applyAlignment="1">
      <alignment horizontal="right" vertical="center" indent="2"/>
    </xf>
    <xf numFmtId="4" fontId="3" fillId="4" borderId="10" xfId="0" applyNumberFormat="1" applyFont="1" applyFill="1" applyBorder="1" applyAlignment="1">
      <alignment horizontal="right" vertical="center" indent="2"/>
    </xf>
    <xf numFmtId="0" fontId="3" fillId="3" borderId="7" xfId="0" applyFont="1" applyFill="1" applyBorder="1" applyAlignment="1">
      <alignment horizontal="right" vertical="center" indent="2"/>
    </xf>
    <xf numFmtId="0" fontId="3" fillId="3" borderId="0" xfId="0" applyFont="1" applyFill="1" applyAlignment="1">
      <alignment horizontal="right" vertical="center" indent="2"/>
    </xf>
    <xf numFmtId="0" fontId="3" fillId="5" borderId="7" xfId="0" applyFont="1" applyFill="1" applyBorder="1" applyAlignment="1">
      <alignment horizontal="right" vertical="center" indent="2"/>
    </xf>
    <xf numFmtId="0" fontId="3" fillId="5" borderId="0" xfId="0" applyFont="1" applyFill="1" applyAlignment="1">
      <alignment horizontal="right" vertical="center" indent="2"/>
    </xf>
    <xf numFmtId="0" fontId="3" fillId="0" borderId="0" xfId="0" applyFont="1" applyAlignment="1">
      <alignment horizontal="right" vertical="center" indent="2"/>
    </xf>
    <xf numFmtId="0" fontId="3" fillId="0" borderId="10" xfId="0" applyFont="1" applyBorder="1" applyAlignment="1">
      <alignment horizontal="right" vertical="center" indent="2"/>
    </xf>
    <xf numFmtId="4" fontId="3" fillId="3" borderId="11" xfId="0" applyNumberFormat="1" applyFont="1" applyFill="1" applyBorder="1" applyAlignment="1">
      <alignment horizontal="right" vertical="center" indent="2"/>
    </xf>
    <xf numFmtId="4" fontId="3" fillId="3" borderId="12" xfId="0" applyNumberFormat="1" applyFont="1" applyFill="1" applyBorder="1" applyAlignment="1">
      <alignment horizontal="right" vertical="center" indent="2"/>
    </xf>
    <xf numFmtId="0" fontId="3" fillId="0" borderId="9" xfId="0" applyFont="1" applyBorder="1" applyAlignment="1">
      <alignment horizontal="right" vertical="center" indent="2"/>
    </xf>
    <xf numFmtId="0" fontId="3" fillId="3" borderId="7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3" fillId="4" borderId="10" xfId="0" applyFont="1" applyFill="1" applyBorder="1" applyAlignment="1">
      <alignment horizontal="right" vertical="center"/>
    </xf>
    <xf numFmtId="4" fontId="3" fillId="5" borderId="11" xfId="0" applyNumberFormat="1" applyFont="1" applyFill="1" applyBorder="1" applyAlignment="1">
      <alignment horizontal="right" vertical="center" indent="2"/>
    </xf>
    <xf numFmtId="4" fontId="3" fillId="5" borderId="12" xfId="0" applyNumberFormat="1" applyFont="1" applyFill="1" applyBorder="1" applyAlignment="1">
      <alignment horizontal="right" vertical="center" indent="2"/>
    </xf>
    <xf numFmtId="0" fontId="3" fillId="4" borderId="0" xfId="0" applyFont="1" applyFill="1" applyAlignment="1">
      <alignment horizontal="right" vertical="center" indent="2"/>
    </xf>
    <xf numFmtId="0" fontId="3" fillId="4" borderId="10" xfId="0" applyFont="1" applyFill="1" applyBorder="1" applyAlignment="1">
      <alignment horizontal="right" vertical="center" indent="2"/>
    </xf>
    <xf numFmtId="0" fontId="3" fillId="5" borderId="11" xfId="0" applyFont="1" applyFill="1" applyBorder="1" applyAlignment="1">
      <alignment horizontal="right" vertical="center" indent="2"/>
    </xf>
    <xf numFmtId="0" fontId="3" fillId="5" borderId="12" xfId="0" applyFont="1" applyFill="1" applyBorder="1" applyAlignment="1">
      <alignment horizontal="right" vertical="center" indent="2"/>
    </xf>
    <xf numFmtId="0" fontId="2" fillId="2" borderId="6" xfId="2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4" fontId="3" fillId="4" borderId="13" xfId="0" applyNumberFormat="1" applyFont="1" applyFill="1" applyBorder="1" applyAlignment="1">
      <alignment horizontal="right" vertical="center" indent="2"/>
    </xf>
    <xf numFmtId="0" fontId="1" fillId="4" borderId="12" xfId="0" applyFont="1" applyFill="1" applyBorder="1" applyAlignment="1">
      <alignment horizontal="left" vertical="center" wrapText="1"/>
    </xf>
    <xf numFmtId="0" fontId="1" fillId="4" borderId="14" xfId="0" applyFont="1" applyFill="1" applyBorder="1" applyAlignment="1">
      <alignment horizontal="left" vertical="center" wrapText="1"/>
    </xf>
    <xf numFmtId="0" fontId="2" fillId="0" borderId="0" xfId="2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15" xfId="0" applyFont="1" applyBorder="1" applyAlignment="1">
      <alignment horizontal="right" vertical="center" indent="2"/>
    </xf>
    <xf numFmtId="0" fontId="0" fillId="0" borderId="7" xfId="0" applyBorder="1"/>
    <xf numFmtId="0" fontId="0" fillId="0" borderId="4" xfId="0" applyBorder="1"/>
    <xf numFmtId="164" fontId="3" fillId="5" borderId="7" xfId="0" applyNumberFormat="1" applyFont="1" applyFill="1" applyBorder="1" applyAlignment="1">
      <alignment horizontal="right" vertical="center" indent="2"/>
    </xf>
    <xf numFmtId="165" fontId="3" fillId="3" borderId="0" xfId="0" applyNumberFormat="1" applyFont="1" applyFill="1" applyAlignment="1">
      <alignment horizontal="right" vertical="center" indent="2"/>
    </xf>
    <xf numFmtId="0" fontId="3" fillId="5" borderId="7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4" fontId="3" fillId="3" borderId="7" xfId="0" applyNumberFormat="1" applyFont="1" applyFill="1" applyBorder="1" applyAlignment="1">
      <alignment horizontal="right" vertical="center"/>
    </xf>
    <xf numFmtId="4" fontId="3" fillId="3" borderId="0" xfId="0" applyNumberFormat="1" applyFont="1" applyFill="1" applyAlignment="1">
      <alignment horizontal="right" vertical="center"/>
    </xf>
    <xf numFmtId="165" fontId="3" fillId="5" borderId="0" xfId="0" applyNumberFormat="1" applyFont="1" applyFill="1" applyAlignment="1">
      <alignment horizontal="right" vertical="center" indent="2"/>
    </xf>
    <xf numFmtId="0" fontId="3" fillId="5" borderId="7" xfId="0" applyFont="1" applyFill="1" applyBorder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4" fontId="3" fillId="3" borderId="11" xfId="0" applyNumberFormat="1" applyFont="1" applyFill="1" applyBorder="1" applyAlignment="1">
      <alignment horizontal="right" vertical="center"/>
    </xf>
    <xf numFmtId="4" fontId="3" fillId="3" borderId="12" xfId="0" applyNumberFormat="1" applyFont="1" applyFill="1" applyBorder="1" applyAlignment="1">
      <alignment horizontal="right" vertical="center"/>
    </xf>
    <xf numFmtId="165" fontId="3" fillId="5" borderId="0" xfId="0" applyNumberFormat="1" applyFont="1" applyFill="1" applyAlignment="1">
      <alignment horizontal="right" vertical="center"/>
    </xf>
    <xf numFmtId="3" fontId="3" fillId="5" borderId="7" xfId="0" applyNumberFormat="1" applyFont="1" applyFill="1" applyBorder="1" applyAlignment="1">
      <alignment horizontal="right" vertical="center" indent="2"/>
    </xf>
    <xf numFmtId="3" fontId="3" fillId="5" borderId="0" xfId="0" applyNumberFormat="1" applyFont="1" applyFill="1" applyAlignment="1">
      <alignment horizontal="right" vertical="center" indent="2"/>
    </xf>
    <xf numFmtId="3" fontId="3" fillId="3" borderId="7" xfId="0" applyNumberFormat="1" applyFont="1" applyFill="1" applyBorder="1" applyAlignment="1">
      <alignment horizontal="right" vertical="center" indent="2"/>
    </xf>
    <xf numFmtId="3" fontId="3" fillId="3" borderId="0" xfId="0" applyNumberFormat="1" applyFont="1" applyFill="1" applyAlignment="1">
      <alignment horizontal="right" vertical="center" indent="2"/>
    </xf>
    <xf numFmtId="0" fontId="2" fillId="5" borderId="16" xfId="2" applyFill="1" applyBorder="1" applyAlignment="1">
      <alignment horizontal="left" vertical="top" wrapText="1"/>
    </xf>
    <xf numFmtId="3" fontId="3" fillId="5" borderId="17" xfId="0" applyNumberFormat="1" applyFont="1" applyFill="1" applyBorder="1" applyAlignment="1">
      <alignment horizontal="right" vertical="center" indent="2"/>
    </xf>
    <xf numFmtId="3" fontId="3" fillId="5" borderId="15" xfId="0" applyNumberFormat="1" applyFont="1" applyFill="1" applyBorder="1" applyAlignment="1">
      <alignment horizontal="right" vertical="center" indent="2"/>
    </xf>
    <xf numFmtId="0" fontId="2" fillId="3" borderId="0" xfId="2" applyFill="1" applyAlignment="1">
      <alignment horizontal="left" vertical="top" wrapText="1"/>
    </xf>
    <xf numFmtId="0" fontId="2" fillId="5" borderId="0" xfId="2" applyFill="1" applyAlignment="1">
      <alignment horizontal="left" vertical="top" wrapText="1"/>
    </xf>
    <xf numFmtId="0" fontId="3" fillId="0" borderId="0" xfId="0" applyFont="1" applyAlignment="1">
      <alignment horizontal="right" vertical="center"/>
    </xf>
    <xf numFmtId="0" fontId="3" fillId="6" borderId="0" xfId="0" applyFont="1" applyFill="1" applyAlignment="1">
      <alignment horizontal="right" vertical="center"/>
    </xf>
    <xf numFmtId="0" fontId="3" fillId="6" borderId="0" xfId="0" applyFont="1" applyFill="1" applyAlignment="1">
      <alignment horizontal="right" vertical="center" indent="2"/>
    </xf>
    <xf numFmtId="165" fontId="3" fillId="3" borderId="0" xfId="0" applyNumberFormat="1" applyFont="1" applyFill="1" applyAlignment="1">
      <alignment horizontal="right" vertical="center"/>
    </xf>
    <xf numFmtId="4" fontId="3" fillId="5" borderId="0" xfId="0" applyNumberFormat="1" applyFont="1" applyFill="1" applyAlignment="1">
      <alignment horizontal="right" vertical="center"/>
    </xf>
    <xf numFmtId="4" fontId="3" fillId="5" borderId="12" xfId="0" applyNumberFormat="1" applyFont="1" applyFill="1" applyBorder="1" applyAlignment="1">
      <alignment horizontal="right" vertical="center"/>
    </xf>
    <xf numFmtId="0" fontId="3" fillId="5" borderId="12" xfId="0" applyFont="1" applyFill="1" applyBorder="1" applyAlignment="1">
      <alignment horizontal="right" vertical="center"/>
    </xf>
    <xf numFmtId="0" fontId="2" fillId="5" borderId="15" xfId="2" applyFill="1" applyBorder="1" applyAlignment="1">
      <alignment horizontal="left" vertical="top" wrapText="1"/>
    </xf>
    <xf numFmtId="0" fontId="3" fillId="5" borderId="15" xfId="0" applyFont="1" applyFill="1" applyBorder="1" applyAlignment="1">
      <alignment horizontal="right" vertical="center" indent="2"/>
    </xf>
    <xf numFmtId="0" fontId="4" fillId="0" borderId="0" xfId="0" applyFont="1"/>
    <xf numFmtId="0" fontId="4" fillId="0" borderId="4" xfId="0" applyFont="1" applyBorder="1"/>
    <xf numFmtId="0" fontId="4" fillId="0" borderId="8" xfId="0" applyFont="1" applyBorder="1"/>
    <xf numFmtId="0" fontId="0" fillId="0" borderId="8" xfId="0" applyBorder="1"/>
    <xf numFmtId="0" fontId="4" fillId="0" borderId="5" xfId="0" applyFont="1" applyBorder="1"/>
    <xf numFmtId="0" fontId="0" fillId="0" borderId="9" xfId="0" applyBorder="1"/>
    <xf numFmtId="10" fontId="0" fillId="0" borderId="0" xfId="0" applyNumberFormat="1"/>
    <xf numFmtId="10" fontId="4" fillId="7" borderId="10" xfId="1" applyNumberFormat="1" applyFont="1" applyFill="1" applyBorder="1"/>
    <xf numFmtId="0" fontId="0" fillId="0" borderId="13" xfId="0" applyBorder="1"/>
    <xf numFmtId="10" fontId="0" fillId="0" borderId="12" xfId="0" applyNumberFormat="1" applyBorder="1"/>
    <xf numFmtId="10" fontId="5" fillId="0" borderId="12" xfId="0" applyNumberFormat="1" applyFont="1" applyBorder="1"/>
    <xf numFmtId="0" fontId="0" fillId="0" borderId="12" xfId="0" applyBorder="1"/>
    <xf numFmtId="10" fontId="4" fillId="7" borderId="10" xfId="0" applyNumberFormat="1" applyFont="1" applyFill="1" applyBorder="1"/>
    <xf numFmtId="0" fontId="4" fillId="7" borderId="0" xfId="0" applyFont="1" applyFill="1"/>
    <xf numFmtId="0" fontId="4" fillId="7" borderId="5" xfId="0" applyFont="1" applyFill="1" applyBorder="1"/>
    <xf numFmtId="10" fontId="4" fillId="7" borderId="14" xfId="1" applyNumberFormat="1" applyFont="1" applyFill="1" applyBorder="1"/>
    <xf numFmtId="10" fontId="6" fillId="7" borderId="10" xfId="1" applyNumberFormat="1" applyFont="1" applyFill="1" applyBorder="1"/>
    <xf numFmtId="0" fontId="5" fillId="0" borderId="9" xfId="0" applyFont="1" applyBorder="1"/>
    <xf numFmtId="9" fontId="6" fillId="7" borderId="10" xfId="1" applyFont="1" applyFill="1" applyBorder="1"/>
    <xf numFmtId="0" fontId="4" fillId="7" borderId="14" xfId="0" applyFont="1" applyFill="1" applyBorder="1"/>
    <xf numFmtId="0" fontId="6" fillId="7" borderId="14" xfId="0" applyFont="1" applyFill="1" applyBorder="1"/>
    <xf numFmtId="0" fontId="6" fillId="0" borderId="4" xfId="0" applyFont="1" applyBorder="1"/>
    <xf numFmtId="0" fontId="5" fillId="0" borderId="13" xfId="0" applyFont="1" applyBorder="1"/>
    <xf numFmtId="0" fontId="5" fillId="0" borderId="12" xfId="0" applyFont="1" applyBorder="1"/>
    <xf numFmtId="10" fontId="6" fillId="0" borderId="14" xfId="1" applyNumberFormat="1" applyFont="1" applyBorder="1"/>
    <xf numFmtId="0" fontId="7" fillId="0" borderId="0" xfId="0" applyFont="1"/>
    <xf numFmtId="0" fontId="7" fillId="0" borderId="0" xfId="0" applyFont="1" applyAlignment="1">
      <alignment wrapText="1"/>
    </xf>
    <xf numFmtId="0" fontId="9" fillId="8" borderId="0" xfId="0" applyFont="1" applyFill="1"/>
    <xf numFmtId="0" fontId="10" fillId="0" borderId="0" xfId="0" applyFont="1"/>
    <xf numFmtId="166" fontId="11" fillId="6" borderId="0" xfId="0" applyNumberFormat="1" applyFont="1" applyFill="1"/>
    <xf numFmtId="167" fontId="11" fillId="6" borderId="0" xfId="0" applyNumberFormat="1" applyFont="1" applyFill="1"/>
    <xf numFmtId="9" fontId="7" fillId="0" borderId="0" xfId="1" applyFont="1"/>
    <xf numFmtId="166" fontId="10" fillId="0" borderId="18" xfId="0" applyNumberFormat="1" applyFont="1" applyBorder="1"/>
    <xf numFmtId="168" fontId="7" fillId="0" borderId="0" xfId="1" applyNumberFormat="1" applyFont="1"/>
    <xf numFmtId="169" fontId="12" fillId="0" borderId="0" xfId="0" applyNumberFormat="1" applyFont="1"/>
    <xf numFmtId="0" fontId="7" fillId="0" borderId="0" xfId="0" applyFont="1" applyAlignment="1">
      <alignment horizontal="center" vertical="center"/>
    </xf>
    <xf numFmtId="166" fontId="7" fillId="0" borderId="0" xfId="0" applyNumberFormat="1" applyFont="1" applyAlignment="1">
      <alignment wrapText="1"/>
    </xf>
    <xf numFmtId="166" fontId="12" fillId="0" borderId="0" xfId="0" applyNumberFormat="1" applyFont="1"/>
    <xf numFmtId="170" fontId="11" fillId="6" borderId="0" xfId="0" applyNumberFormat="1" applyFont="1" applyFill="1"/>
    <xf numFmtId="3" fontId="12" fillId="0" borderId="0" xfId="0" applyNumberFormat="1" applyFont="1"/>
    <xf numFmtId="169" fontId="7" fillId="0" borderId="0" xfId="0" applyNumberFormat="1" applyFont="1"/>
    <xf numFmtId="169" fontId="7" fillId="0" borderId="18" xfId="0" applyNumberFormat="1" applyFont="1" applyBorder="1"/>
    <xf numFmtId="166" fontId="7" fillId="0" borderId="0" xfId="0" applyNumberFormat="1" applyFont="1"/>
    <xf numFmtId="166" fontId="13" fillId="9" borderId="0" xfId="0" applyNumberFormat="1" applyFont="1" applyFill="1"/>
    <xf numFmtId="171" fontId="10" fillId="0" borderId="19" xfId="0" applyNumberFormat="1" applyFont="1" applyBorder="1" applyAlignment="1">
      <alignment horizontal="center"/>
    </xf>
    <xf numFmtId="169" fontId="10" fillId="0" borderId="18" xfId="0" applyNumberFormat="1" applyFont="1" applyBorder="1"/>
    <xf numFmtId="0" fontId="14" fillId="0" borderId="0" xfId="0" applyFont="1" applyAlignment="1">
      <alignment horizontal="center"/>
    </xf>
    <xf numFmtId="172" fontId="7" fillId="0" borderId="0" xfId="0" applyNumberFormat="1" applyFont="1"/>
    <xf numFmtId="172" fontId="0" fillId="0" borderId="0" xfId="0" applyNumberFormat="1"/>
    <xf numFmtId="169" fontId="0" fillId="0" borderId="0" xfId="0" applyNumberFormat="1"/>
    <xf numFmtId="169" fontId="10" fillId="0" borderId="0" xfId="0" applyNumberFormat="1" applyFont="1"/>
    <xf numFmtId="169" fontId="9" fillId="0" borderId="20" xfId="0" applyNumberFormat="1" applyFont="1" applyBorder="1"/>
    <xf numFmtId="169" fontId="9" fillId="0" borderId="18" xfId="0" applyNumberFormat="1" applyFont="1" applyBorder="1"/>
    <xf numFmtId="3" fontId="7" fillId="0" borderId="0" xfId="0" applyNumberFormat="1" applyFont="1"/>
    <xf numFmtId="170" fontId="15" fillId="9" borderId="0" xfId="0" applyNumberFormat="1" applyFont="1" applyFill="1"/>
    <xf numFmtId="170" fontId="12" fillId="0" borderId="0" xfId="0" applyNumberFormat="1" applyFont="1"/>
    <xf numFmtId="166" fontId="10" fillId="0" borderId="0" xfId="0" applyNumberFormat="1" applyFont="1"/>
    <xf numFmtId="4" fontId="7" fillId="0" borderId="0" xfId="0" applyNumberFormat="1" applyFont="1"/>
    <xf numFmtId="0" fontId="11" fillId="0" borderId="0" xfId="0" applyFont="1"/>
    <xf numFmtId="0" fontId="12" fillId="0" borderId="0" xfId="0" applyFont="1"/>
    <xf numFmtId="0" fontId="8" fillId="6" borderId="0" xfId="0" applyFont="1" applyFill="1"/>
    <xf numFmtId="0" fontId="17" fillId="0" borderId="0" xfId="0" applyFont="1"/>
    <xf numFmtId="0" fontId="18" fillId="0" borderId="0" xfId="0" applyFont="1"/>
    <xf numFmtId="0" fontId="4" fillId="0" borderId="0" xfId="0" applyFont="1" applyBorder="1"/>
    <xf numFmtId="0" fontId="0" fillId="0" borderId="0" xfId="0" applyBorder="1"/>
    <xf numFmtId="10" fontId="5" fillId="0" borderId="0" xfId="0" applyNumberFormat="1" applyFont="1" applyBorder="1"/>
    <xf numFmtId="10" fontId="0" fillId="0" borderId="0" xfId="0" applyNumberFormat="1" applyBorder="1"/>
    <xf numFmtId="10" fontId="5" fillId="0" borderId="8" xfId="0" applyNumberFormat="1" applyFont="1" applyBorder="1"/>
    <xf numFmtId="10" fontId="0" fillId="0" borderId="8" xfId="0" applyNumberFormat="1" applyBorder="1"/>
    <xf numFmtId="10" fontId="4" fillId="7" borderId="5" xfId="1" applyNumberFormat="1" applyFont="1" applyFill="1" applyBorder="1"/>
    <xf numFmtId="10" fontId="4" fillId="7" borderId="14" xfId="0" applyNumberFormat="1" applyFont="1" applyFill="1" applyBorder="1"/>
    <xf numFmtId="9" fontId="0" fillId="0" borderId="0" xfId="0" applyNumberFormat="1" applyBorder="1"/>
    <xf numFmtId="0" fontId="4" fillId="7" borderId="10" xfId="0" applyFont="1" applyFill="1" applyBorder="1"/>
    <xf numFmtId="0" fontId="19" fillId="0" borderId="0" xfId="0" applyFont="1"/>
    <xf numFmtId="4" fontId="3" fillId="0" borderId="0" xfId="0" applyNumberFormat="1" applyFont="1" applyBorder="1" applyAlignment="1">
      <alignment horizontal="right" vertical="center" indent="2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2F2F2"/>
      <rgbColor rgb="FFDDEE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A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;" TargetMode="External"/><Relationship Id="rId1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21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7" Type="http://schemas.openxmlformats.org/officeDocument/2006/relationships/hyperlink" Target="javascript:void(0);" TargetMode="External"/><Relationship Id="rId25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23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39" Type="http://schemas.openxmlformats.org/officeDocument/2006/relationships/hyperlink" Target="javascript:void(0);" TargetMode="External"/><Relationship Id="rId21" Type="http://schemas.openxmlformats.org/officeDocument/2006/relationships/hyperlink" Target="javascript:void(0);" TargetMode="External"/><Relationship Id="rId34" Type="http://schemas.openxmlformats.org/officeDocument/2006/relationships/hyperlink" Target="javascript:void(0);" TargetMode="External"/><Relationship Id="rId42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29" Type="http://schemas.openxmlformats.org/officeDocument/2006/relationships/hyperlink" Target="javascript:void(0);" TargetMode="External"/><Relationship Id="rId41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37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23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31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27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35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7" Type="http://schemas.openxmlformats.org/officeDocument/2006/relationships/hyperlink" Target="javascript:void(0);" TargetMode="External"/><Relationship Id="rId25" Type="http://schemas.openxmlformats.org/officeDocument/2006/relationships/hyperlink" Target="javascript:void(0);" TargetMode="External"/><Relationship Id="rId33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39" Type="http://schemas.openxmlformats.org/officeDocument/2006/relationships/hyperlink" Target="javascript:void(0);" TargetMode="External"/><Relationship Id="rId21" Type="http://schemas.openxmlformats.org/officeDocument/2006/relationships/hyperlink" Target="javascript:void(0);" TargetMode="External"/><Relationship Id="rId34" Type="http://schemas.openxmlformats.org/officeDocument/2006/relationships/hyperlink" Target="javascript:void(0);" TargetMode="External"/><Relationship Id="rId42" Type="http://schemas.openxmlformats.org/officeDocument/2006/relationships/hyperlink" Target="javascript:void(0);" TargetMode="External"/><Relationship Id="rId47" Type="http://schemas.openxmlformats.org/officeDocument/2006/relationships/hyperlink" Target="javascript:void(0);" TargetMode="External"/><Relationship Id="rId50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9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37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45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23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49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31" Type="http://schemas.openxmlformats.org/officeDocument/2006/relationships/hyperlink" Target="javascript:void(0);" TargetMode="External"/><Relationship Id="rId44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27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35" Type="http://schemas.openxmlformats.org/officeDocument/2006/relationships/hyperlink" Target="javascript:void(0);" TargetMode="External"/><Relationship Id="rId43" Type="http://schemas.openxmlformats.org/officeDocument/2006/relationships/hyperlink" Target="javascript:void(0);" TargetMode="External"/><Relationship Id="rId48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7" Type="http://schemas.openxmlformats.org/officeDocument/2006/relationships/hyperlink" Target="javascript:void(0);" TargetMode="External"/><Relationship Id="rId25" Type="http://schemas.openxmlformats.org/officeDocument/2006/relationships/hyperlink" Target="javascript:void(0);" TargetMode="External"/><Relationship Id="rId33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41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47"/>
  <sheetViews>
    <sheetView zoomScaleNormal="100" workbookViewId="0">
      <selection activeCell="I18" sqref="I18"/>
    </sheetView>
  </sheetViews>
  <sheetFormatPr defaultColWidth="8.6328125" defaultRowHeight="14.5"/>
  <cols>
    <col min="2" max="4" width="32.54296875" customWidth="1"/>
    <col min="5" max="5" width="16.36328125" customWidth="1"/>
    <col min="7" max="7" width="28.453125" customWidth="1"/>
    <col min="8" max="8" width="17.1796875" customWidth="1"/>
    <col min="9" max="9" width="12" customWidth="1"/>
  </cols>
  <sheetData>
    <row r="1" spans="2:11" ht="15" customHeight="1"/>
    <row r="2" spans="2:11" ht="21" customHeight="1">
      <c r="B2" s="7" t="s">
        <v>0</v>
      </c>
      <c r="C2" s="8" t="s">
        <v>1</v>
      </c>
      <c r="D2" s="8"/>
      <c r="E2" s="9"/>
      <c r="G2" s="10"/>
      <c r="H2" s="5"/>
      <c r="I2" s="5"/>
      <c r="J2" s="12"/>
      <c r="K2" s="12"/>
    </row>
    <row r="3" spans="2:11" ht="21">
      <c r="B3" s="13" t="s">
        <v>2</v>
      </c>
      <c r="C3" s="14" t="s">
        <v>3</v>
      </c>
      <c r="D3" s="15" t="s">
        <v>4</v>
      </c>
      <c r="E3" s="15" t="s">
        <v>5</v>
      </c>
      <c r="G3" s="10" t="s">
        <v>6</v>
      </c>
      <c r="H3" s="16" t="s">
        <v>7</v>
      </c>
      <c r="I3" s="11" t="s">
        <v>8</v>
      </c>
      <c r="J3" s="11" t="s">
        <v>9</v>
      </c>
      <c r="K3" s="11" t="s">
        <v>10</v>
      </c>
    </row>
    <row r="4" spans="2:11">
      <c r="B4" s="17" t="s">
        <v>11</v>
      </c>
      <c r="C4" s="18"/>
      <c r="D4" s="19"/>
      <c r="E4" s="19"/>
      <c r="G4" s="20"/>
      <c r="H4" s="21"/>
      <c r="I4" s="22"/>
      <c r="J4" s="22"/>
      <c r="K4" s="22"/>
    </row>
    <row r="5" spans="2:11">
      <c r="B5" s="23" t="s">
        <v>12</v>
      </c>
      <c r="C5" s="24">
        <v>35975.599999999999</v>
      </c>
      <c r="D5" s="25">
        <v>36176.199999999997</v>
      </c>
      <c r="E5" s="25">
        <v>37184.400000000001</v>
      </c>
      <c r="G5" s="26">
        <f>E5*(1+Assumption!G4)</f>
        <v>39787.308000000005</v>
      </c>
      <c r="H5" s="27">
        <f>G5*(1+Assumption!G4)</f>
        <v>42572.419560000009</v>
      </c>
      <c r="I5" s="28">
        <f>H5*(1+Assumption!G4)</f>
        <v>45552.488929200015</v>
      </c>
      <c r="J5" s="28">
        <f>I5*(1+Assumption!G7)</f>
        <v>49424.450488182018</v>
      </c>
      <c r="K5" s="28">
        <f>J5*(1+Assumption!G8)</f>
        <v>52884.162022354765</v>
      </c>
    </row>
    <row r="6" spans="2:11">
      <c r="B6" s="17" t="s">
        <v>13</v>
      </c>
      <c r="C6" s="29">
        <v>11409.1</v>
      </c>
      <c r="D6" s="30">
        <v>11180.6</v>
      </c>
      <c r="E6" s="30">
        <v>11658.2</v>
      </c>
      <c r="G6" s="31">
        <f>G5-G7</f>
        <v>12135.128940000002</v>
      </c>
      <c r="H6" s="32">
        <f>H5-H7</f>
        <v>12984.587965800005</v>
      </c>
      <c r="I6" s="33">
        <f>I5-I7</f>
        <v>13893.509123406006</v>
      </c>
      <c r="J6" s="33">
        <f>J5-J7</f>
        <v>15074.457398895516</v>
      </c>
      <c r="K6" s="33">
        <f>K5-K7</f>
        <v>16129.669416818208</v>
      </c>
    </row>
    <row r="7" spans="2:11">
      <c r="B7" s="17" t="s">
        <v>14</v>
      </c>
      <c r="C7" s="29">
        <f>(C5-C6)</f>
        <v>24566.5</v>
      </c>
      <c r="D7" s="29">
        <f>(D5-D6)</f>
        <v>24995.599999999999</v>
      </c>
      <c r="E7" s="29">
        <f>(E5-E6)</f>
        <v>25526.2</v>
      </c>
      <c r="G7" s="31">
        <f>G5*Assumption!$G$11</f>
        <v>27652.179060000002</v>
      </c>
      <c r="H7" s="32">
        <f>H5*Assumption!$G$11</f>
        <v>29587.831594200004</v>
      </c>
      <c r="I7" s="33">
        <f>I5*Assumption!$G$11</f>
        <v>31658.97980579401</v>
      </c>
      <c r="J7" s="33">
        <f>J5*Assumption!$G$11</f>
        <v>34349.993089286501</v>
      </c>
      <c r="K7" s="33">
        <f>K5*Assumption!$G$11</f>
        <v>36754.492605536558</v>
      </c>
    </row>
    <row r="8" spans="2:11">
      <c r="B8" s="23" t="s">
        <v>15</v>
      </c>
      <c r="C8" s="24">
        <v>14720.3</v>
      </c>
      <c r="D8" s="25">
        <v>15286.5</v>
      </c>
      <c r="E8" s="25">
        <v>17058.900000000001</v>
      </c>
      <c r="G8" s="26">
        <f>G5*Assumption!$G$14</f>
        <v>16710.66936</v>
      </c>
      <c r="H8" s="27">
        <f>H5*Assumption!$G$14</f>
        <v>17880.416215200003</v>
      </c>
      <c r="I8" s="28">
        <f>I5*Assumption!$G$14</f>
        <v>19132.045350264005</v>
      </c>
      <c r="J8" s="28">
        <f>J5*Assumption!$G$14</f>
        <v>20758.269205036446</v>
      </c>
      <c r="K8" s="28">
        <f>K5*Assumption!$G$14</f>
        <v>22211.348049389002</v>
      </c>
    </row>
    <row r="9" spans="2:11">
      <c r="B9" s="17" t="s">
        <v>16</v>
      </c>
      <c r="C9" s="34">
        <v>539.4</v>
      </c>
      <c r="D9" s="35">
        <v>565.6</v>
      </c>
      <c r="E9" s="35">
        <v>584.6</v>
      </c>
      <c r="G9" s="31">
        <f>G5*Assumption!$G$17</f>
        <v>596.80962</v>
      </c>
      <c r="H9" s="32">
        <f>H5*Assumption!$G$17</f>
        <v>638.58629340000016</v>
      </c>
      <c r="I9" s="33">
        <f>I5*Assumption!$G$17</f>
        <v>683.28733393800019</v>
      </c>
      <c r="J9" s="33">
        <f>J5*Assumption!$G$17</f>
        <v>741.36675732273022</v>
      </c>
      <c r="K9" s="33">
        <f>K5*Assumption!$G$17</f>
        <v>793.26243033532148</v>
      </c>
    </row>
    <row r="10" spans="2:11" ht="28.5" customHeight="1">
      <c r="B10" s="23" t="s">
        <v>17</v>
      </c>
      <c r="C10" s="24">
        <v>1362.6</v>
      </c>
      <c r="D10" s="25">
        <v>1512.6</v>
      </c>
      <c r="E10" s="25">
        <v>1684.7</v>
      </c>
      <c r="G10" s="31">
        <f>G5*Assumption!$G$16</f>
        <v>1710.8542440000001</v>
      </c>
      <c r="H10" s="31">
        <f>H5*Assumption!$G$16</f>
        <v>1830.6140410800003</v>
      </c>
      <c r="I10" s="31">
        <f>I5*Assumption!$G$16</f>
        <v>1958.7570239556005</v>
      </c>
      <c r="J10" s="31">
        <f>J5*Assumption!$G$16</f>
        <v>2125.2513709918267</v>
      </c>
      <c r="K10" s="31">
        <f>K5*Assumption!$G$16</f>
        <v>2274.0189669612546</v>
      </c>
    </row>
    <row r="11" spans="2:11">
      <c r="B11" s="17" t="s">
        <v>18</v>
      </c>
      <c r="C11" s="29">
        <v>2441.3000000000002</v>
      </c>
      <c r="D11" s="30">
        <v>2523.3000000000002</v>
      </c>
      <c r="E11" s="30">
        <v>2617.1999999999998</v>
      </c>
      <c r="G11" s="31">
        <f>G5*Assumption!$G$15</f>
        <v>2745.3242520000003</v>
      </c>
      <c r="H11" s="32">
        <f>H5*Assumption!$G$15</f>
        <v>2937.4969496400008</v>
      </c>
      <c r="I11" s="33">
        <f>I5*Assumption!$G$15</f>
        <v>3143.1217361148015</v>
      </c>
      <c r="J11" s="33">
        <f>J5*Assumption!$G$15</f>
        <v>3410.2870836845595</v>
      </c>
      <c r="K11" s="33">
        <f>K5*Assumption!$G$15</f>
        <v>3649.0071795424792</v>
      </c>
    </row>
    <row r="12" spans="2:11">
      <c r="B12" s="23" t="s">
        <v>19</v>
      </c>
      <c r="C12" s="36">
        <v>21.8</v>
      </c>
      <c r="D12" s="37">
        <v>0</v>
      </c>
      <c r="E12" s="37">
        <v>892</v>
      </c>
      <c r="G12" s="26">
        <v>0</v>
      </c>
      <c r="H12" s="38">
        <v>0</v>
      </c>
      <c r="I12" s="39">
        <v>0</v>
      </c>
      <c r="J12" s="39">
        <v>0</v>
      </c>
      <c r="K12" s="39">
        <v>0</v>
      </c>
    </row>
    <row r="13" spans="2:11" ht="15" customHeight="1">
      <c r="B13" s="17" t="s">
        <v>20</v>
      </c>
      <c r="C13" s="40">
        <v>30494.5</v>
      </c>
      <c r="D13" s="41">
        <v>31068.6</v>
      </c>
      <c r="E13" s="41">
        <v>34495.599999999999</v>
      </c>
      <c r="G13" s="31">
        <f>SUM(G8:G12)+G6</f>
        <v>33898.786416000003</v>
      </c>
      <c r="H13" s="32">
        <f>SUM(H8:H12)+H6</f>
        <v>36271.701465120008</v>
      </c>
      <c r="I13" s="33">
        <f>SUM(I8:I12)+I6</f>
        <v>38810.720567678407</v>
      </c>
      <c r="J13" s="33">
        <f>SUM(J8:J12)+J6</f>
        <v>42109.631815931076</v>
      </c>
      <c r="K13" s="33">
        <f>SUM(K8:K12)+K6</f>
        <v>45057.306043046265</v>
      </c>
    </row>
    <row r="14" spans="2:11">
      <c r="B14" s="23" t="s">
        <v>21</v>
      </c>
      <c r="C14" s="36">
        <v>298.39999999999998</v>
      </c>
      <c r="D14" s="37">
        <v>301.2</v>
      </c>
      <c r="E14" s="37">
        <v>247.8</v>
      </c>
      <c r="G14" s="26">
        <f>247.8</f>
        <v>247.8</v>
      </c>
      <c r="H14" s="38">
        <v>247.8</v>
      </c>
      <c r="I14" s="39">
        <v>247</v>
      </c>
      <c r="J14" s="39">
        <v>247.8</v>
      </c>
      <c r="K14" s="39">
        <v>247.8</v>
      </c>
    </row>
    <row r="15" spans="2:11" ht="15" customHeight="1">
      <c r="B15" s="17" t="s">
        <v>22</v>
      </c>
      <c r="C15" s="40">
        <v>5870.8</v>
      </c>
      <c r="D15" s="41">
        <v>5408.8</v>
      </c>
      <c r="E15" s="41">
        <v>2936.6</v>
      </c>
      <c r="G15" s="31">
        <f>SUM(G5-G13)+G14</f>
        <v>6136.3215840000021</v>
      </c>
      <c r="H15" s="32">
        <f>SUM(H5-H13)+H14</f>
        <v>6548.5180948800016</v>
      </c>
      <c r="I15" s="33">
        <f>SUM(I5-I13)+I14</f>
        <v>6988.7683615216083</v>
      </c>
      <c r="J15" s="33">
        <f>SUM(J5-J13)+J14</f>
        <v>7562.6186722509419</v>
      </c>
      <c r="K15" s="33">
        <f>SUM(K5-K13)+K14</f>
        <v>8074.6559793085007</v>
      </c>
    </row>
    <row r="16" spans="2:11">
      <c r="B16" s="23" t="s">
        <v>23</v>
      </c>
      <c r="C16" s="36">
        <v>81.2</v>
      </c>
      <c r="D16" s="37">
        <v>122.8</v>
      </c>
      <c r="E16" s="37">
        <v>113.3</v>
      </c>
      <c r="G16" s="42">
        <v>113.3</v>
      </c>
      <c r="H16" s="38">
        <v>113.3</v>
      </c>
      <c r="I16" s="39">
        <v>113.3</v>
      </c>
      <c r="J16" s="39">
        <v>113.3</v>
      </c>
      <c r="K16" s="39">
        <v>113.3</v>
      </c>
    </row>
    <row r="17" spans="2:11">
      <c r="B17" s="17" t="s">
        <v>24</v>
      </c>
      <c r="C17" s="43">
        <v>-550.1</v>
      </c>
      <c r="D17" s="44">
        <v>-562</v>
      </c>
      <c r="E17" s="44">
        <v>-542.6</v>
      </c>
      <c r="G17" s="31">
        <v>-550</v>
      </c>
      <c r="H17" s="45">
        <v>-550</v>
      </c>
      <c r="I17" s="46">
        <v>-550</v>
      </c>
      <c r="J17" s="46">
        <v>-550</v>
      </c>
      <c r="K17" s="46">
        <v>-550</v>
      </c>
    </row>
    <row r="18" spans="2:11" ht="15" customHeight="1">
      <c r="B18" s="23" t="s">
        <v>25</v>
      </c>
      <c r="C18" s="47">
        <v>5401.9</v>
      </c>
      <c r="D18" s="48">
        <v>4969.6000000000004</v>
      </c>
      <c r="E18" s="48">
        <v>2507.3000000000002</v>
      </c>
      <c r="G18" s="26">
        <f>SUM(G15:G16)-G17</f>
        <v>6799.6215840000023</v>
      </c>
      <c r="H18" s="27">
        <f>SUM(H15:H16)-H17</f>
        <v>7211.8180948800018</v>
      </c>
      <c r="I18" s="28">
        <f>SUM(I15:I16)-I17</f>
        <v>7652.0683615216085</v>
      </c>
      <c r="J18" s="28">
        <f>SUM(J15:J16)-J17</f>
        <v>8225.9186722509421</v>
      </c>
      <c r="K18" s="28">
        <f>SUM(K15:K16)-K17</f>
        <v>8737.9559793085009</v>
      </c>
    </row>
    <row r="19" spans="2:11">
      <c r="B19" s="17" t="s">
        <v>26</v>
      </c>
      <c r="C19" s="29">
        <v>1277.2</v>
      </c>
      <c r="D19" s="30">
        <v>1207.3</v>
      </c>
      <c r="E19" s="35">
        <v>650.6</v>
      </c>
      <c r="G19" s="31">
        <f>G18*Assumption!$G$21</f>
        <v>1631.9091801600005</v>
      </c>
      <c r="H19" s="32">
        <f>H18*Assumption!$G$21</f>
        <v>1730.8363427712004</v>
      </c>
      <c r="I19" s="33">
        <f>I18*Assumption!$G$21</f>
        <v>1836.4964067651861</v>
      </c>
      <c r="J19" s="33">
        <f>J18*Assumption!$G$21</f>
        <v>1974.2204813402261</v>
      </c>
      <c r="K19" s="33">
        <f>K18*Assumption!$G$21</f>
        <v>2097.10943503404</v>
      </c>
    </row>
    <row r="20" spans="2:11" ht="29.25" customHeight="1">
      <c r="B20" s="23" t="s">
        <v>27</v>
      </c>
      <c r="C20" s="47">
        <v>4124.7</v>
      </c>
      <c r="D20" s="48">
        <v>3762.3</v>
      </c>
      <c r="E20" s="48">
        <v>1856.7</v>
      </c>
      <c r="G20" s="26">
        <f>G18-G19</f>
        <v>5167.7124038400016</v>
      </c>
      <c r="H20" s="27">
        <f>H18-H19</f>
        <v>5480.9817521088016</v>
      </c>
      <c r="I20" s="28">
        <f>I18-I19</f>
        <v>5815.5719547564222</v>
      </c>
      <c r="J20" s="28">
        <f>J18-J19</f>
        <v>6251.6981909107162</v>
      </c>
      <c r="K20" s="28">
        <f>K18-K19</f>
        <v>6640.8465442744609</v>
      </c>
    </row>
    <row r="21" spans="2:11" ht="28.5" customHeight="1">
      <c r="B21" s="17" t="s">
        <v>28</v>
      </c>
      <c r="C21" s="34">
        <v>0.2</v>
      </c>
      <c r="D21" s="35">
        <v>1.4</v>
      </c>
      <c r="E21" s="35">
        <v>0.3</v>
      </c>
      <c r="G21" s="31">
        <v>0.3</v>
      </c>
      <c r="H21" s="49">
        <v>0.3</v>
      </c>
      <c r="I21" s="50">
        <v>0.3</v>
      </c>
      <c r="J21" s="50">
        <v>0.3</v>
      </c>
      <c r="K21" s="50">
        <v>0.3</v>
      </c>
    </row>
    <row r="22" spans="2:11" ht="29.25" customHeight="1">
      <c r="B22" s="23" t="s">
        <v>29</v>
      </c>
      <c r="C22" s="51" t="s">
        <v>30</v>
      </c>
      <c r="D22" s="52" t="s">
        <v>31</v>
      </c>
      <c r="E22" s="52" t="s">
        <v>32</v>
      </c>
      <c r="G22" s="26">
        <f>G20-G21</f>
        <v>5167.4124038400014</v>
      </c>
      <c r="H22" s="27">
        <f>H20-H21</f>
        <v>5480.6817521088014</v>
      </c>
      <c r="I22" s="28">
        <f>I20-I21</f>
        <v>5815.271954756422</v>
      </c>
      <c r="J22" s="28">
        <f>J20-J21</f>
        <v>6251.398190910716</v>
      </c>
      <c r="K22" s="28">
        <f>K20-K21</f>
        <v>6640.5465442744608</v>
      </c>
    </row>
    <row r="23" spans="2:11">
      <c r="B23" s="17" t="s">
        <v>33</v>
      </c>
      <c r="C23" s="34" t="s">
        <v>34</v>
      </c>
      <c r="D23" s="35" t="s">
        <v>35</v>
      </c>
      <c r="E23" s="35" t="s">
        <v>36</v>
      </c>
      <c r="G23" s="31">
        <f>G22/G26</f>
        <v>4.5487785245070436</v>
      </c>
      <c r="H23" s="32">
        <f>H22/H26</f>
        <v>4.8118364812193164</v>
      </c>
      <c r="I23" s="33">
        <f>I22/I26</f>
        <v>5.0921820969846081</v>
      </c>
      <c r="J23" s="33">
        <f>J22/J26</f>
        <v>5.4597364112757347</v>
      </c>
      <c r="K23" s="33">
        <f>K22/K26</f>
        <v>5.7844482092983105</v>
      </c>
    </row>
    <row r="24" spans="2:11">
      <c r="B24" s="23" t="s">
        <v>37</v>
      </c>
      <c r="C24" s="36" t="s">
        <v>38</v>
      </c>
      <c r="D24" s="37" t="s">
        <v>39</v>
      </c>
      <c r="E24" s="37" t="s">
        <v>36</v>
      </c>
      <c r="G24" s="26">
        <f>G23</f>
        <v>4.5487785245070436</v>
      </c>
      <c r="H24" s="27">
        <f>H23</f>
        <v>4.8118364812193164</v>
      </c>
      <c r="I24" s="28">
        <f>I23</f>
        <v>5.0921820969846081</v>
      </c>
      <c r="J24" s="28">
        <f>J23</f>
        <v>5.4597364112757347</v>
      </c>
      <c r="K24" s="28">
        <f>K23</f>
        <v>5.7844482092983105</v>
      </c>
    </row>
    <row r="25" spans="2:11" ht="28.5" customHeight="1">
      <c r="B25" s="17" t="s">
        <v>40</v>
      </c>
      <c r="C25" s="18"/>
      <c r="D25" s="19"/>
      <c r="E25" s="19"/>
      <c r="G25" s="31"/>
      <c r="H25" s="21"/>
      <c r="I25" s="22"/>
      <c r="J25" s="22"/>
      <c r="K25" s="22"/>
    </row>
    <row r="26" spans="2:11">
      <c r="B26" s="23" t="s">
        <v>41</v>
      </c>
      <c r="C26" s="24">
        <v>1146.8</v>
      </c>
      <c r="D26" s="25">
        <v>1133.8</v>
      </c>
      <c r="E26" s="25">
        <v>1136</v>
      </c>
      <c r="G26" s="26">
        <v>1136</v>
      </c>
      <c r="H26" s="27">
        <v>1139</v>
      </c>
      <c r="I26" s="28">
        <v>1142</v>
      </c>
      <c r="J26" s="28">
        <v>1145</v>
      </c>
      <c r="K26" s="28">
        <v>1148</v>
      </c>
    </row>
    <row r="27" spans="2:11">
      <c r="B27" s="17" t="s">
        <v>42</v>
      </c>
      <c r="C27" s="29">
        <v>1151.3</v>
      </c>
      <c r="D27" s="30">
        <v>1137.3</v>
      </c>
      <c r="E27" s="30">
        <v>1139.8</v>
      </c>
      <c r="G27" s="31">
        <v>1139</v>
      </c>
      <c r="H27" s="32">
        <v>1142</v>
      </c>
      <c r="I27" s="33">
        <v>1145</v>
      </c>
      <c r="J27" s="33">
        <v>1148</v>
      </c>
      <c r="K27" s="33">
        <v>1151</v>
      </c>
    </row>
    <row r="28" spans="2:11">
      <c r="B28" s="23" t="s">
        <v>43</v>
      </c>
      <c r="C28" s="36" t="s">
        <v>44</v>
      </c>
      <c r="D28" s="37" t="s">
        <v>45</v>
      </c>
      <c r="E28" s="37" t="s">
        <v>45</v>
      </c>
      <c r="G28" s="26">
        <v>0</v>
      </c>
      <c r="H28" s="38">
        <v>0</v>
      </c>
      <c r="I28" s="39">
        <v>0</v>
      </c>
      <c r="J28" s="39">
        <v>0</v>
      </c>
      <c r="K28" s="39">
        <v>0</v>
      </c>
    </row>
    <row r="29" spans="2:11" ht="15" customHeight="1">
      <c r="B29" s="53" t="s">
        <v>46</v>
      </c>
      <c r="C29" s="54"/>
      <c r="D29" s="55"/>
      <c r="E29" s="55"/>
      <c r="G29" s="56"/>
      <c r="H29" s="57"/>
      <c r="I29" s="58"/>
      <c r="J29" s="58"/>
      <c r="K29" s="58"/>
    </row>
    <row r="30" spans="2:11">
      <c r="B30" s="59"/>
      <c r="C30" s="60"/>
      <c r="D30" s="60"/>
      <c r="E30" s="60"/>
      <c r="G30" s="27"/>
      <c r="H30" s="60"/>
      <c r="I30" s="60"/>
      <c r="J30" s="60"/>
      <c r="K30" s="60"/>
    </row>
    <row r="31" spans="2:11">
      <c r="B31" s="59"/>
      <c r="C31" s="27"/>
      <c r="D31" s="27"/>
      <c r="E31" s="27"/>
      <c r="G31" s="27"/>
      <c r="H31" s="27"/>
      <c r="I31" s="27"/>
      <c r="J31" s="27"/>
      <c r="K31" s="27"/>
    </row>
    <row r="32" spans="2:11">
      <c r="B32" s="59"/>
      <c r="C32" s="61"/>
      <c r="D32" s="61"/>
      <c r="E32" s="61"/>
      <c r="G32" s="27"/>
      <c r="H32" s="61"/>
      <c r="I32" s="61"/>
      <c r="J32" s="61"/>
      <c r="K32" s="61"/>
    </row>
    <row r="33" spans="2:11">
      <c r="B33" s="59"/>
      <c r="C33" s="60"/>
      <c r="D33" s="60"/>
      <c r="E33" s="60"/>
      <c r="G33" s="27"/>
      <c r="H33" s="60"/>
      <c r="I33" s="60"/>
      <c r="J33" s="60"/>
      <c r="K33" s="60"/>
    </row>
    <row r="34" spans="2:11">
      <c r="B34" s="59"/>
      <c r="C34" s="27"/>
      <c r="D34" s="27"/>
      <c r="E34" s="27"/>
      <c r="G34" s="27"/>
      <c r="H34" s="27"/>
      <c r="I34" s="27"/>
      <c r="J34" s="27"/>
      <c r="K34" s="27"/>
    </row>
    <row r="35" spans="2:11">
      <c r="B35" s="59"/>
      <c r="C35" s="61"/>
      <c r="D35" s="61"/>
      <c r="E35" s="61"/>
      <c r="G35" s="27"/>
      <c r="H35" s="61"/>
      <c r="I35" s="61"/>
      <c r="J35" s="61"/>
      <c r="K35" s="61"/>
    </row>
    <row r="36" spans="2:11">
      <c r="B36" s="59"/>
      <c r="C36" s="60"/>
      <c r="D36" s="60"/>
      <c r="E36" s="60"/>
      <c r="G36" s="27"/>
      <c r="H36" s="60"/>
      <c r="I36" s="60"/>
      <c r="J36" s="60"/>
      <c r="K36" s="60"/>
    </row>
    <row r="37" spans="2:11" ht="15" customHeight="1">
      <c r="B37" s="59"/>
      <c r="C37" s="38"/>
      <c r="D37" s="38"/>
      <c r="E37" s="38"/>
      <c r="G37" s="27"/>
      <c r="H37" s="62"/>
      <c r="I37" s="62"/>
      <c r="J37" s="62"/>
      <c r="K37" s="62"/>
    </row>
    <row r="145" spans="2:5" ht="15" customHeight="1"/>
    <row r="146" spans="2:5">
      <c r="B146" s="4"/>
      <c r="C146" s="4"/>
      <c r="D146" s="4"/>
      <c r="E146" s="4"/>
    </row>
    <row r="147" spans="2:5">
      <c r="B147" s="3"/>
      <c r="C147" s="3"/>
      <c r="D147" s="3"/>
      <c r="E147" s="3"/>
    </row>
  </sheetData>
  <mergeCells count="3">
    <mergeCell ref="H2:I2"/>
    <mergeCell ref="B146:E146"/>
    <mergeCell ref="B147:E147"/>
  </mergeCells>
  <hyperlinks>
    <hyperlink ref="B4" r:id="rId1" xr:uid="{00000000-0004-0000-0000-000000000000}"/>
    <hyperlink ref="B5" r:id="rId2" xr:uid="{00000000-0004-0000-0000-000001000000}"/>
    <hyperlink ref="B6" r:id="rId3" xr:uid="{00000000-0004-0000-0000-000002000000}"/>
    <hyperlink ref="B8" r:id="rId4" xr:uid="{00000000-0004-0000-0000-000003000000}"/>
    <hyperlink ref="B9" r:id="rId5" xr:uid="{00000000-0004-0000-0000-000004000000}"/>
    <hyperlink ref="B10" r:id="rId6" xr:uid="{00000000-0004-0000-0000-000005000000}"/>
    <hyperlink ref="B11" r:id="rId7" xr:uid="{00000000-0004-0000-0000-000006000000}"/>
    <hyperlink ref="B12" r:id="rId8" xr:uid="{00000000-0004-0000-0000-000007000000}"/>
    <hyperlink ref="B13" r:id="rId9" xr:uid="{00000000-0004-0000-0000-000008000000}"/>
    <hyperlink ref="B14" r:id="rId10" xr:uid="{00000000-0004-0000-0000-000009000000}"/>
    <hyperlink ref="B15" r:id="rId11" xr:uid="{00000000-0004-0000-0000-00000A000000}"/>
    <hyperlink ref="B16" r:id="rId12" xr:uid="{00000000-0004-0000-0000-00000B000000}"/>
    <hyperlink ref="B17" r:id="rId13" xr:uid="{00000000-0004-0000-0000-00000C000000}"/>
    <hyperlink ref="B18" r:id="rId14" xr:uid="{00000000-0004-0000-0000-00000D000000}"/>
    <hyperlink ref="B19" r:id="rId15" xr:uid="{00000000-0004-0000-0000-00000E000000}"/>
    <hyperlink ref="B20" r:id="rId16" xr:uid="{00000000-0004-0000-0000-00000F000000}"/>
    <hyperlink ref="B21" r:id="rId17" xr:uid="{00000000-0004-0000-0000-000010000000}"/>
    <hyperlink ref="B22" r:id="rId18" xr:uid="{00000000-0004-0000-0000-000011000000}"/>
    <hyperlink ref="B23" r:id="rId19" xr:uid="{00000000-0004-0000-0000-000012000000}"/>
    <hyperlink ref="B24" r:id="rId20" xr:uid="{00000000-0004-0000-0000-000013000000}"/>
    <hyperlink ref="B25" r:id="rId21" xr:uid="{00000000-0004-0000-0000-000014000000}"/>
    <hyperlink ref="B26" r:id="rId22" xr:uid="{00000000-0004-0000-0000-000015000000}"/>
    <hyperlink ref="B27" r:id="rId23" xr:uid="{00000000-0004-0000-0000-000016000000}"/>
    <hyperlink ref="B28" r:id="rId24" xr:uid="{00000000-0004-0000-0000-000017000000}"/>
    <hyperlink ref="B29" r:id="rId25" xr:uid="{00000000-0004-0000-0000-000018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topLeftCell="A12" zoomScale="154" zoomScaleNormal="154" workbookViewId="0">
      <selection activeCell="F28" sqref="F28"/>
    </sheetView>
  </sheetViews>
  <sheetFormatPr defaultColWidth="8.6328125" defaultRowHeight="14.5"/>
  <cols>
    <col min="1" max="1" width="35.7265625" customWidth="1"/>
    <col min="2" max="3" width="17.54296875" customWidth="1"/>
    <col min="4" max="4" width="17.90625" customWidth="1"/>
    <col min="5" max="5" width="18.81640625" customWidth="1"/>
    <col min="6" max="8" width="14.81640625" customWidth="1"/>
    <col min="9" max="9" width="17.54296875" customWidth="1"/>
  </cols>
  <sheetData>
    <row r="1" spans="1:10" ht="23.9" customHeight="1">
      <c r="A1" s="7" t="s">
        <v>47</v>
      </c>
      <c r="B1" s="9" t="s">
        <v>48</v>
      </c>
      <c r="C1" s="9" t="s">
        <v>49</v>
      </c>
      <c r="D1" s="2" t="s">
        <v>50</v>
      </c>
      <c r="F1" s="8" t="s">
        <v>6</v>
      </c>
      <c r="G1" s="9" t="s">
        <v>51</v>
      </c>
      <c r="H1" s="1" t="s">
        <v>52</v>
      </c>
      <c r="I1" s="9" t="s">
        <v>9</v>
      </c>
      <c r="J1" s="9" t="s">
        <v>10</v>
      </c>
    </row>
    <row r="2" spans="1:10" ht="15" customHeight="1">
      <c r="A2" s="13" t="s">
        <v>53</v>
      </c>
      <c r="B2" s="14"/>
      <c r="C2" s="14"/>
      <c r="D2" s="2"/>
      <c r="F2" s="15"/>
      <c r="G2" s="14"/>
      <c r="H2" s="1"/>
      <c r="I2" s="63"/>
      <c r="J2" s="63"/>
    </row>
    <row r="3" spans="1:10">
      <c r="A3" s="17" t="s">
        <v>54</v>
      </c>
      <c r="B3" s="18"/>
      <c r="C3" s="18"/>
      <c r="D3" s="19"/>
      <c r="F3" s="64"/>
      <c r="G3" s="12"/>
    </row>
    <row r="4" spans="1:10" ht="43.5" customHeight="1">
      <c r="A4" s="23" t="s">
        <v>55</v>
      </c>
      <c r="B4" s="65">
        <v>3551.5</v>
      </c>
      <c r="C4" s="36" t="s">
        <v>56</v>
      </c>
      <c r="D4" s="37" t="s">
        <v>57</v>
      </c>
      <c r="F4" s="30">
        <f>'Cash Flow '!G50</f>
        <v>5645.9225278947943</v>
      </c>
      <c r="G4" s="30">
        <f>'Cash Flow '!H50</f>
        <v>8440.2454704435913</v>
      </c>
      <c r="H4" s="30">
        <f>'Cash Flow '!I50</f>
        <v>11032.437122966237</v>
      </c>
      <c r="I4" s="30">
        <f>'Cash Flow '!J50</f>
        <v>13762.345319219579</v>
      </c>
      <c r="J4" s="30">
        <f>'Cash Flow '!K50</f>
        <v>16628.621859694369</v>
      </c>
    </row>
    <row r="5" spans="1:10">
      <c r="A5" s="17" t="s">
        <v>58</v>
      </c>
      <c r="B5" s="34">
        <v>401.5</v>
      </c>
      <c r="C5" s="34">
        <v>257</v>
      </c>
      <c r="D5" s="35">
        <v>247.2</v>
      </c>
      <c r="F5" s="35">
        <v>247.2</v>
      </c>
      <c r="G5" s="35">
        <v>247.2</v>
      </c>
      <c r="H5" s="35">
        <v>247.2</v>
      </c>
      <c r="I5" s="35">
        <v>247.2</v>
      </c>
      <c r="J5" s="35">
        <v>247.2</v>
      </c>
    </row>
    <row r="6" spans="1:10">
      <c r="A6" s="23" t="s">
        <v>59</v>
      </c>
      <c r="B6" s="24">
        <v>1184.0999999999999</v>
      </c>
      <c r="C6" s="24">
        <v>1213.8</v>
      </c>
      <c r="D6" s="25">
        <v>1277.5</v>
      </c>
      <c r="F6" s="25">
        <f>IS!G5*Assumption!$G$28/365</f>
        <v>1308.075879452055</v>
      </c>
      <c r="G6" s="25">
        <f>IS!H5*Assumption!$G$28/365</f>
        <v>1399.641191013699</v>
      </c>
      <c r="H6" s="25">
        <f>IS!I5*Assumption!$G$28/365</f>
        <v>1497.6160743846581</v>
      </c>
      <c r="I6" s="25">
        <f>IS!J5*Assumption!$G$28/365</f>
        <v>1624.9134407073541</v>
      </c>
      <c r="J6" s="25">
        <f>IS!K5*Assumption!$G$28/365</f>
        <v>1738.6573815568688</v>
      </c>
    </row>
    <row r="7" spans="1:10">
      <c r="A7" s="17" t="s">
        <v>60</v>
      </c>
      <c r="B7" s="29">
        <v>1806.4</v>
      </c>
      <c r="C7" s="29">
        <v>1777.3</v>
      </c>
      <c r="D7" s="30">
        <v>2185.6</v>
      </c>
      <c r="F7" s="30">
        <f>IS!G6*Assumption!$G$29/365</f>
        <v>2061.3095733698633</v>
      </c>
      <c r="G7" s="30">
        <f>IS!H6*Assumption!$G$29/365</f>
        <v>2205.6012435057542</v>
      </c>
      <c r="H7" s="30">
        <f>IS!I6*Assumption!$G$29/365</f>
        <v>2359.9933305511572</v>
      </c>
      <c r="I7" s="30">
        <f>IS!J6*Assumption!$G$29/365</f>
        <v>2560.5927636480055</v>
      </c>
      <c r="J7" s="30">
        <f>IS!K6*Assumption!$G$29/365</f>
        <v>2739.8342571033668</v>
      </c>
    </row>
    <row r="8" spans="1:10" ht="28.5" customHeight="1">
      <c r="A8" s="23" t="s">
        <v>61</v>
      </c>
      <c r="B8" s="36">
        <v>359.9</v>
      </c>
      <c r="C8" s="36">
        <v>313.10000000000002</v>
      </c>
      <c r="D8" s="37">
        <v>452.2</v>
      </c>
      <c r="F8" s="37">
        <v>452.2</v>
      </c>
      <c r="G8" s="37">
        <v>452.2</v>
      </c>
      <c r="H8" s="37">
        <v>452.2</v>
      </c>
      <c r="I8" s="37">
        <v>452.2</v>
      </c>
      <c r="J8" s="37">
        <v>452.2</v>
      </c>
    </row>
    <row r="9" spans="1:10" ht="15" customHeight="1">
      <c r="A9" s="17" t="s">
        <v>62</v>
      </c>
      <c r="B9" s="40">
        <f>SUM(B4:B8)</f>
        <v>7303.4</v>
      </c>
      <c r="C9" s="40">
        <v>6847.4</v>
      </c>
      <c r="D9" s="41">
        <v>7382.3</v>
      </c>
      <c r="F9" s="41">
        <f>SUM(F4:F8)</f>
        <v>9714.7079807167138</v>
      </c>
      <c r="G9" s="41">
        <f>SUM(G4:G8)</f>
        <v>12744.887904963047</v>
      </c>
      <c r="H9" s="41">
        <f>SUM(H4:H8)</f>
        <v>15589.446527902053</v>
      </c>
      <c r="I9" s="41">
        <f>SUM(I4:I8)</f>
        <v>18647.251523574942</v>
      </c>
      <c r="J9" s="41">
        <f>SUM(J4:J8)</f>
        <v>21806.513498354609</v>
      </c>
    </row>
    <row r="10" spans="1:10">
      <c r="A10" s="23" t="s">
        <v>63</v>
      </c>
      <c r="B10" s="36">
        <v>247.4</v>
      </c>
      <c r="C10" s="36">
        <v>276</v>
      </c>
      <c r="D10" s="37">
        <v>246.9</v>
      </c>
      <c r="F10" s="37">
        <v>246.9</v>
      </c>
      <c r="G10" s="37">
        <v>246.9</v>
      </c>
      <c r="H10" s="37">
        <v>246.9</v>
      </c>
      <c r="I10" s="37">
        <v>246.9</v>
      </c>
      <c r="J10" s="37">
        <v>246.9</v>
      </c>
    </row>
    <row r="11" spans="1:10">
      <c r="A11" s="17" t="s">
        <v>64</v>
      </c>
      <c r="B11" s="34">
        <v>439.9</v>
      </c>
      <c r="C11" s="34">
        <v>463.9</v>
      </c>
      <c r="D11" s="35">
        <v>466.2</v>
      </c>
      <c r="F11" s="35">
        <v>466.2</v>
      </c>
      <c r="G11" s="35">
        <v>466.2</v>
      </c>
      <c r="H11" s="35">
        <v>466.2</v>
      </c>
      <c r="I11" s="35">
        <v>466.2</v>
      </c>
      <c r="J11" s="35">
        <v>466.2</v>
      </c>
    </row>
    <row r="12" spans="1:10">
      <c r="A12" s="23" t="s">
        <v>65</v>
      </c>
      <c r="B12" s="24">
        <v>7387.1</v>
      </c>
      <c r="C12" s="24">
        <v>8665.5</v>
      </c>
      <c r="D12" s="25">
        <v>8493.5</v>
      </c>
      <c r="F12" s="66">
        <f>(D12+IS!G5*Assumption!$G$25-IS!G10)</f>
        <v>9169.8842359999999</v>
      </c>
      <c r="G12" s="66">
        <f>(F12+IS!H5*Assumption!$G$25-IS!H10)</f>
        <v>9893.6153685200006</v>
      </c>
      <c r="H12" s="66">
        <f>(G12+IS!I5*Assumption!$G$25-IS!I10)</f>
        <v>10668.007680316401</v>
      </c>
      <c r="I12" s="66">
        <f>(H12+IS!J5*Assumption!$G$25-IS!J10)</f>
        <v>11508.223338615495</v>
      </c>
      <c r="J12" s="66">
        <f>(I12+IS!K5*Assumption!$G$25-IS!K10)</f>
        <v>12407.254092995525</v>
      </c>
    </row>
    <row r="13" spans="1:10">
      <c r="A13" s="17" t="s">
        <v>66</v>
      </c>
      <c r="B13" s="29">
        <v>8412.6</v>
      </c>
      <c r="C13" s="29">
        <v>9286.2000000000007</v>
      </c>
      <c r="D13" s="30">
        <v>9315.7000000000007</v>
      </c>
      <c r="F13" s="30">
        <v>9315.7000000000007</v>
      </c>
      <c r="G13" s="30">
        <v>9315.7000000000007</v>
      </c>
      <c r="H13" s="30">
        <v>9315.7000000000007</v>
      </c>
      <c r="I13" s="30">
        <v>9315.7000000000007</v>
      </c>
      <c r="J13" s="30">
        <v>9315.7000000000007</v>
      </c>
    </row>
    <row r="14" spans="1:10">
      <c r="A14" s="23" t="s">
        <v>67</v>
      </c>
      <c r="B14" s="24">
        <v>1769.8</v>
      </c>
      <c r="C14" s="24">
        <v>1766.7</v>
      </c>
      <c r="D14" s="25">
        <v>1826.9</v>
      </c>
      <c r="F14" s="25">
        <v>1826.9</v>
      </c>
      <c r="G14" s="25">
        <v>1826.9</v>
      </c>
      <c r="H14" s="25">
        <v>1826.9</v>
      </c>
      <c r="I14" s="25">
        <v>1826.9</v>
      </c>
      <c r="J14" s="25">
        <v>1826.9</v>
      </c>
    </row>
    <row r="15" spans="1:10">
      <c r="A15" s="17" t="s">
        <v>68</v>
      </c>
      <c r="B15" s="34">
        <v>546.5</v>
      </c>
      <c r="C15" s="34">
        <v>617</v>
      </c>
      <c r="D15" s="35">
        <v>752.5</v>
      </c>
      <c r="F15" s="35">
        <v>752.5</v>
      </c>
      <c r="G15" s="35">
        <v>752.5</v>
      </c>
      <c r="H15" s="35">
        <v>752.5</v>
      </c>
      <c r="I15" s="35">
        <v>752.5</v>
      </c>
      <c r="J15" s="35">
        <v>752.5</v>
      </c>
    </row>
    <row r="16" spans="1:10" ht="28.5" customHeight="1">
      <c r="A16" s="23" t="s">
        <v>69</v>
      </c>
      <c r="B16" s="36">
        <v>120.5</v>
      </c>
      <c r="C16" s="36">
        <v>100.9</v>
      </c>
      <c r="D16" s="37">
        <v>166.8</v>
      </c>
      <c r="F16" s="37">
        <v>166.8</v>
      </c>
      <c r="G16" s="37">
        <v>166.8</v>
      </c>
      <c r="H16" s="37">
        <v>166.8</v>
      </c>
      <c r="I16" s="37">
        <v>166.8</v>
      </c>
      <c r="J16" s="37">
        <v>166.8</v>
      </c>
    </row>
    <row r="17" spans="1:10">
      <c r="A17" s="17" t="s">
        <v>70</v>
      </c>
      <c r="B17" s="29">
        <v>3218.3</v>
      </c>
      <c r="C17" s="29">
        <v>3315.7</v>
      </c>
      <c r="D17" s="30">
        <v>3368.9</v>
      </c>
      <c r="F17" s="30">
        <v>3368.9</v>
      </c>
      <c r="G17" s="30">
        <v>3368.9</v>
      </c>
      <c r="H17" s="30">
        <v>3368.9</v>
      </c>
      <c r="I17" s="30">
        <v>3368.9</v>
      </c>
      <c r="J17" s="30">
        <v>3368.9</v>
      </c>
    </row>
    <row r="18" spans="1:10" ht="15" customHeight="1">
      <c r="A18" s="23" t="s">
        <v>71</v>
      </c>
      <c r="B18" s="47">
        <f>SUM(B4:B17)-(B9)</f>
        <v>29445.5</v>
      </c>
      <c r="C18" s="47">
        <v>31339.3</v>
      </c>
      <c r="D18" s="48">
        <v>32019.7</v>
      </c>
      <c r="F18" s="48">
        <f>SUM(F9:F17)</f>
        <v>35028.492216716717</v>
      </c>
      <c r="G18" s="48">
        <f>SUM(G9:G17)</f>
        <v>38782.403273483054</v>
      </c>
      <c r="H18" s="48">
        <f>SUM(H9:H17)</f>
        <v>42401.354208218458</v>
      </c>
      <c r="I18" s="48">
        <f>SUM(I9:I17)</f>
        <v>46299.374862190445</v>
      </c>
      <c r="J18" s="48">
        <f>SUM(J9:J17)</f>
        <v>50357.667591350139</v>
      </c>
    </row>
    <row r="19" spans="1:10">
      <c r="A19" s="17" t="s">
        <v>72</v>
      </c>
      <c r="B19" s="18"/>
      <c r="C19" s="18"/>
      <c r="D19" s="19"/>
      <c r="F19" s="19"/>
      <c r="G19" s="18"/>
      <c r="H19" s="18"/>
      <c r="I19" s="18"/>
      <c r="J19" s="18"/>
    </row>
    <row r="20" spans="1:10">
      <c r="A20" s="23" t="s">
        <v>73</v>
      </c>
      <c r="B20" s="24">
        <v>1544.3</v>
      </c>
      <c r="C20" s="24">
        <v>1595.5</v>
      </c>
      <c r="D20" s="25">
        <v>1852.8</v>
      </c>
      <c r="F20" s="30">
        <f>IS!G6*Assumption!$G$30/365</f>
        <v>1828.5810731506851</v>
      </c>
      <c r="G20" s="30">
        <f>IS!H6*Assumption!$G$30/365</f>
        <v>1956.5817482712337</v>
      </c>
      <c r="H20" s="30">
        <f>IS!I6*Assumption!$G$30/365</f>
        <v>2093.5424706502199</v>
      </c>
      <c r="I20" s="30">
        <f>IS!J6*Assumption!$G$30/365</f>
        <v>2271.493580655489</v>
      </c>
      <c r="J20" s="30">
        <f>IS!K6*Assumption!$G$30/365</f>
        <v>2430.4981313013736</v>
      </c>
    </row>
    <row r="21" spans="1:10">
      <c r="A21" s="17" t="s">
        <v>74</v>
      </c>
      <c r="B21" s="29">
        <v>2145.1</v>
      </c>
      <c r="C21" s="29">
        <v>2194.6999999999998</v>
      </c>
      <c r="D21" s="30">
        <v>2359.6999999999998</v>
      </c>
      <c r="F21" s="30">
        <v>2359.6999999999998</v>
      </c>
      <c r="G21" s="30">
        <v>2359.6999999999998</v>
      </c>
      <c r="H21" s="30">
        <v>2359.6999999999998</v>
      </c>
      <c r="I21" s="30">
        <v>2359.6999999999998</v>
      </c>
      <c r="J21" s="30">
        <v>2359.6999999999998</v>
      </c>
    </row>
    <row r="22" spans="1:10">
      <c r="A22" s="23" t="s">
        <v>75</v>
      </c>
      <c r="B22" s="36">
        <v>828.3</v>
      </c>
      <c r="C22" s="36">
        <v>786.6</v>
      </c>
      <c r="D22" s="25">
        <v>1093.9000000000001</v>
      </c>
      <c r="F22" s="25">
        <v>1093.9000000000001</v>
      </c>
      <c r="G22" s="25">
        <v>1093.9000000000001</v>
      </c>
      <c r="H22" s="25">
        <v>1093.9000000000001</v>
      </c>
      <c r="I22" s="25">
        <v>1093.9000000000001</v>
      </c>
      <c r="J22" s="25">
        <v>1093.9000000000001</v>
      </c>
    </row>
    <row r="23" spans="1:10">
      <c r="A23" s="17" t="s">
        <v>76</v>
      </c>
      <c r="B23" s="29">
        <v>1275.3</v>
      </c>
      <c r="C23" s="29">
        <v>1463.1</v>
      </c>
      <c r="D23" s="30">
        <v>1564.5</v>
      </c>
      <c r="F23" s="30">
        <v>1564.5</v>
      </c>
      <c r="G23" s="30">
        <v>1564.5</v>
      </c>
      <c r="H23" s="30">
        <v>1564.5</v>
      </c>
      <c r="I23" s="30">
        <v>1564.5</v>
      </c>
      <c r="J23" s="30">
        <v>1564.5</v>
      </c>
    </row>
    <row r="24" spans="1:10">
      <c r="A24" s="23" t="s">
        <v>77</v>
      </c>
      <c r="B24" s="24">
        <v>1700.2</v>
      </c>
      <c r="C24" s="24">
        <v>1781.2</v>
      </c>
      <c r="D24" s="25">
        <v>1840.6</v>
      </c>
      <c r="F24" s="25">
        <v>1840.6</v>
      </c>
      <c r="G24" s="25">
        <v>1840.6</v>
      </c>
      <c r="H24" s="25">
        <v>1840.6</v>
      </c>
      <c r="I24" s="25">
        <v>1840.6</v>
      </c>
      <c r="J24" s="25">
        <v>1840.6</v>
      </c>
    </row>
    <row r="25" spans="1:10">
      <c r="A25" s="23" t="s">
        <v>78</v>
      </c>
      <c r="B25" s="24">
        <v>33.5</v>
      </c>
      <c r="C25" s="24">
        <v>0</v>
      </c>
      <c r="D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</row>
    <row r="26" spans="1:10">
      <c r="A26" s="17" t="s">
        <v>79</v>
      </c>
      <c r="B26" s="29">
        <v>1818.6</v>
      </c>
      <c r="C26" s="29">
        <v>1248.9000000000001</v>
      </c>
      <c r="D26" s="30">
        <v>1498.9</v>
      </c>
      <c r="F26" s="30">
        <v>1498.9</v>
      </c>
      <c r="G26" s="30">
        <v>1498.9</v>
      </c>
      <c r="H26" s="30">
        <v>1498.9</v>
      </c>
      <c r="I26" s="30">
        <v>1498.9</v>
      </c>
      <c r="J26" s="30">
        <v>1498.9</v>
      </c>
    </row>
    <row r="27" spans="1:10" ht="15" customHeight="1">
      <c r="A27" s="23" t="s">
        <v>80</v>
      </c>
      <c r="B27" s="47">
        <f>SUM(B20:B26)</f>
        <v>9345.2999999999993</v>
      </c>
      <c r="C27" s="47">
        <v>9070</v>
      </c>
      <c r="D27" s="48">
        <v>10210.4</v>
      </c>
      <c r="F27" s="48">
        <f>SUM(F20:F26)</f>
        <v>10186.181073150685</v>
      </c>
      <c r="G27" s="48">
        <f>SUM(G20:G26)</f>
        <v>10314.181748271234</v>
      </c>
      <c r="H27" s="48">
        <f>SUM(H20:H26)</f>
        <v>10451.14247065022</v>
      </c>
      <c r="I27" s="48">
        <f>SUM(I20:I26)</f>
        <v>10629.093580655488</v>
      </c>
      <c r="J27" s="48">
        <f>SUM(J20:J26)</f>
        <v>10788.098131301373</v>
      </c>
    </row>
    <row r="28" spans="1:10" ht="28.5" customHeight="1">
      <c r="A28" s="17" t="s">
        <v>81</v>
      </c>
      <c r="B28" s="29">
        <v>13547.6</v>
      </c>
      <c r="C28" s="29">
        <v>14319.5</v>
      </c>
      <c r="D28" s="30">
        <v>14575.9</v>
      </c>
      <c r="F28" s="30">
        <v>14575.9</v>
      </c>
      <c r="G28" s="30">
        <v>14575.9</v>
      </c>
      <c r="H28" s="30">
        <v>14575.9</v>
      </c>
      <c r="I28" s="30">
        <v>14575.9</v>
      </c>
      <c r="J28" s="30">
        <v>14575.9</v>
      </c>
    </row>
    <row r="29" spans="1:10">
      <c r="A29" s="23" t="s">
        <v>82</v>
      </c>
      <c r="B29" s="24">
        <v>7924.8</v>
      </c>
      <c r="C29" s="24">
        <v>8771.6</v>
      </c>
      <c r="D29" s="25">
        <v>8972.2000000000007</v>
      </c>
      <c r="F29" s="25">
        <v>8972.2000000000007</v>
      </c>
      <c r="G29" s="25">
        <v>8972.2000000000007</v>
      </c>
      <c r="H29" s="25">
        <v>8972.2000000000007</v>
      </c>
      <c r="I29" s="25">
        <v>8972.2000000000007</v>
      </c>
      <c r="J29" s="25">
        <v>8972.2000000000007</v>
      </c>
    </row>
    <row r="30" spans="1:10">
      <c r="A30" s="17" t="s">
        <v>83</v>
      </c>
      <c r="B30" s="29">
        <v>6101.8</v>
      </c>
      <c r="C30" s="29">
        <v>5963.6</v>
      </c>
      <c r="D30" s="30">
        <v>5772.6</v>
      </c>
      <c r="F30" s="30">
        <v>5772.6</v>
      </c>
      <c r="G30" s="30">
        <v>5772.6</v>
      </c>
      <c r="H30" s="30">
        <v>5772.6</v>
      </c>
      <c r="I30" s="30">
        <v>5772.6</v>
      </c>
      <c r="J30" s="30">
        <v>5772.6</v>
      </c>
    </row>
    <row r="31" spans="1:10" ht="28.5" customHeight="1">
      <c r="A31" s="23" t="s">
        <v>84</v>
      </c>
      <c r="B31" s="36">
        <v>513.79999999999995</v>
      </c>
      <c r="C31" s="36">
        <v>656.2</v>
      </c>
      <c r="D31" s="37">
        <v>577.79999999999995</v>
      </c>
      <c r="F31" s="37">
        <v>577.79999999999995</v>
      </c>
      <c r="G31" s="37">
        <v>577.79999999999995</v>
      </c>
      <c r="H31" s="37">
        <v>577.79999999999995</v>
      </c>
      <c r="I31" s="37">
        <v>577.79999999999995</v>
      </c>
      <c r="J31" s="37">
        <v>577.79999999999995</v>
      </c>
    </row>
    <row r="32" spans="1:10" ht="15" customHeight="1">
      <c r="A32" s="17" t="s">
        <v>85</v>
      </c>
      <c r="B32" s="40">
        <f>SUM(B27:B31)</f>
        <v>37433.300000000003</v>
      </c>
      <c r="C32" s="40">
        <v>38780.9</v>
      </c>
      <c r="D32" s="41">
        <v>40108.9</v>
      </c>
      <c r="F32" s="41">
        <f>SUM(F27:F31)</f>
        <v>40084.681073150692</v>
      </c>
      <c r="G32" s="41">
        <f>SUM(G27:G31)</f>
        <v>40212.681748271236</v>
      </c>
      <c r="H32" s="41">
        <f>SUM(H27:H31)</f>
        <v>40349.642470650222</v>
      </c>
      <c r="I32" s="41">
        <f>SUM(I27:I31)</f>
        <v>40527.593580655484</v>
      </c>
      <c r="J32" s="41">
        <f>SUM(J27:J31)</f>
        <v>40686.598131301369</v>
      </c>
    </row>
    <row r="33" spans="1:10">
      <c r="A33" s="23" t="s">
        <v>86</v>
      </c>
      <c r="B33" s="67"/>
      <c r="C33" s="67"/>
      <c r="D33" s="68"/>
      <c r="F33" s="68"/>
      <c r="G33" s="67"/>
      <c r="H33" s="67"/>
      <c r="I33" s="67"/>
      <c r="J33" s="67"/>
    </row>
    <row r="34" spans="1:10" ht="57.75" customHeight="1">
      <c r="A34" s="17" t="s">
        <v>87</v>
      </c>
      <c r="B34" s="34">
        <v>1.1000000000000001</v>
      </c>
      <c r="C34" s="34">
        <v>1.1000000000000001</v>
      </c>
      <c r="D34" s="35">
        <v>1.1000000000000001</v>
      </c>
      <c r="F34" s="35">
        <v>1.1000000000000001</v>
      </c>
      <c r="G34" s="35">
        <v>1.1000000000000001</v>
      </c>
      <c r="H34" s="35">
        <v>1.1000000000000001</v>
      </c>
      <c r="I34" s="35">
        <v>1.1000000000000001</v>
      </c>
      <c r="J34" s="35">
        <v>1.1000000000000001</v>
      </c>
    </row>
    <row r="35" spans="1:10">
      <c r="A35" s="23" t="s">
        <v>88</v>
      </c>
      <c r="B35" s="36">
        <v>38.1</v>
      </c>
      <c r="C35" s="36">
        <v>322.60000000000002</v>
      </c>
      <c r="D35" s="37">
        <v>634.1</v>
      </c>
      <c r="F35" s="37">
        <v>634.1</v>
      </c>
      <c r="G35" s="37">
        <v>634.1</v>
      </c>
      <c r="H35" s="37">
        <v>634.1</v>
      </c>
      <c r="I35" s="37">
        <v>634.1</v>
      </c>
      <c r="J35" s="37">
        <v>634.1</v>
      </c>
    </row>
    <row r="36" spans="1:10">
      <c r="A36" s="17" t="s">
        <v>89</v>
      </c>
      <c r="B36" s="69">
        <v>-7255.8</v>
      </c>
      <c r="C36" s="69">
        <v>-7343.8</v>
      </c>
      <c r="D36" s="70">
        <v>-8272.5</v>
      </c>
      <c r="F36" s="71">
        <f>D36+IS!G20-IS!G5*Assumption!$G$33</f>
        <v>-5492.0260761599984</v>
      </c>
      <c r="G36" s="71">
        <f>F36+IS!H20-IS!H5*Assumption!$G$33</f>
        <v>-2565.3894976511974</v>
      </c>
      <c r="H36" s="71">
        <f>F36+IS!I20-IS!I5*Assumption!$G$33</f>
        <v>-2409.603457155577</v>
      </c>
      <c r="I36" s="71">
        <f>H36+IS!J20-IS!J5*Assumption!$G$33</f>
        <v>876.62770446421837</v>
      </c>
      <c r="J36" s="71">
        <f>I36+IS!K20-IS!K5*Assumption!$G$33</f>
        <v>4344.4245273973938</v>
      </c>
    </row>
    <row r="37" spans="1:10" ht="28.5" customHeight="1">
      <c r="A37" s="23" t="s">
        <v>90</v>
      </c>
      <c r="B37" s="72">
        <v>-778.2</v>
      </c>
      <c r="C37" s="72">
        <v>-428.8</v>
      </c>
      <c r="D37" s="73">
        <v>-459.3</v>
      </c>
      <c r="F37" s="73">
        <v>-459.3</v>
      </c>
      <c r="G37" s="73">
        <v>-459.3</v>
      </c>
      <c r="H37" s="73">
        <v>-459.3</v>
      </c>
      <c r="I37" s="73">
        <v>-459.3</v>
      </c>
      <c r="J37" s="73">
        <v>-459.3</v>
      </c>
    </row>
    <row r="38" spans="1:10" ht="29.25" customHeight="1">
      <c r="A38" s="17" t="s">
        <v>91</v>
      </c>
      <c r="B38" s="74">
        <v>-7994.8</v>
      </c>
      <c r="C38" s="74">
        <v>-7448.9</v>
      </c>
      <c r="D38" s="75">
        <v>-8096.6</v>
      </c>
      <c r="F38" s="76">
        <f>SUM(F36:F37)</f>
        <v>-5951.3260761599986</v>
      </c>
      <c r="G38" s="76">
        <f>SUM(G36:G37)</f>
        <v>-3024.6894976511976</v>
      </c>
      <c r="H38" s="76">
        <f>SUM(H36:H37)</f>
        <v>-2868.9034571555771</v>
      </c>
      <c r="I38" s="76">
        <f>SUM(I36:I37)</f>
        <v>417.32770446421836</v>
      </c>
      <c r="J38" s="76">
        <f>SUM(J36:J37)</f>
        <v>3885.1245273973936</v>
      </c>
    </row>
    <row r="39" spans="1:10" ht="28.5" customHeight="1">
      <c r="A39" s="23" t="s">
        <v>92</v>
      </c>
      <c r="B39" s="36">
        <v>7</v>
      </c>
      <c r="C39" s="36">
        <v>7.3</v>
      </c>
      <c r="D39" s="37">
        <v>7.4</v>
      </c>
      <c r="F39" s="37">
        <v>7.4</v>
      </c>
      <c r="G39" s="37">
        <v>7.4</v>
      </c>
      <c r="H39" s="37">
        <v>7.4</v>
      </c>
      <c r="I39" s="37">
        <v>7.4</v>
      </c>
      <c r="J39" s="37">
        <v>7.4</v>
      </c>
    </row>
    <row r="40" spans="1:10" ht="43.5" customHeight="1">
      <c r="A40" s="17" t="s">
        <v>93</v>
      </c>
      <c r="B40" s="74">
        <v>7987.8</v>
      </c>
      <c r="C40" s="74">
        <v>-7441.6</v>
      </c>
      <c r="D40" s="75">
        <v>-8089.2</v>
      </c>
      <c r="F40" s="75">
        <f>SUM(F38:F39)</f>
        <v>-5943.926076159999</v>
      </c>
      <c r="G40" s="75">
        <f>SUM(G38:G39)</f>
        <v>-3017.2894976511975</v>
      </c>
      <c r="H40" s="75">
        <f>SUM(H38:H39)</f>
        <v>-2861.5034571555771</v>
      </c>
      <c r="I40" s="75">
        <f>SUM(I38:I39)</f>
        <v>424.72770446421833</v>
      </c>
      <c r="J40" s="75">
        <f>SUM(J38:J39)</f>
        <v>3892.5245273973937</v>
      </c>
    </row>
    <row r="41" spans="1:10" ht="29.25" customHeight="1">
      <c r="A41" s="23" t="s">
        <v>94</v>
      </c>
      <c r="B41" s="51">
        <v>29445.5</v>
      </c>
      <c r="C41" s="51" t="s">
        <v>95</v>
      </c>
      <c r="D41" s="52" t="s">
        <v>96</v>
      </c>
      <c r="F41" s="52" t="s">
        <v>96</v>
      </c>
      <c r="G41" s="52" t="s">
        <v>96</v>
      </c>
      <c r="H41" s="52" t="s">
        <v>96</v>
      </c>
      <c r="I41" s="52" t="s">
        <v>96</v>
      </c>
      <c r="J41" s="52" t="s">
        <v>96</v>
      </c>
    </row>
    <row r="42" spans="1:10">
      <c r="A42" s="17" t="s">
        <v>97</v>
      </c>
      <c r="B42" s="34" t="s">
        <v>98</v>
      </c>
      <c r="C42" s="34" t="s">
        <v>98</v>
      </c>
      <c r="D42" s="35" t="s">
        <v>98</v>
      </c>
      <c r="F42" s="35" t="s">
        <v>98</v>
      </c>
      <c r="G42" s="35" t="s">
        <v>98</v>
      </c>
      <c r="H42" s="35" t="s">
        <v>98</v>
      </c>
      <c r="I42" s="35" t="s">
        <v>98</v>
      </c>
      <c r="J42" s="35" t="s">
        <v>98</v>
      </c>
    </row>
    <row r="43" spans="1:10">
      <c r="A43" s="23" t="s">
        <v>99</v>
      </c>
      <c r="B43" s="77">
        <v>2400000000</v>
      </c>
      <c r="C43" s="77">
        <v>2400000000</v>
      </c>
      <c r="D43" s="78">
        <v>2400000000</v>
      </c>
      <c r="F43" s="78">
        <v>2400000000</v>
      </c>
      <c r="G43" s="78">
        <v>2400000000</v>
      </c>
      <c r="H43" s="78">
        <v>2400000000</v>
      </c>
      <c r="I43" s="78">
        <v>2400000000</v>
      </c>
      <c r="J43" s="78">
        <v>2400000000</v>
      </c>
    </row>
    <row r="44" spans="1:10">
      <c r="A44" s="17" t="s">
        <v>100</v>
      </c>
      <c r="B44" s="79">
        <v>1133500000</v>
      </c>
      <c r="C44" s="79">
        <v>1133500000</v>
      </c>
      <c r="D44" s="80">
        <v>1136900000</v>
      </c>
      <c r="F44" s="80">
        <v>1136900000</v>
      </c>
      <c r="G44" s="80">
        <v>1136900000</v>
      </c>
      <c r="H44" s="80">
        <v>1136900000</v>
      </c>
      <c r="I44" s="80">
        <v>1136900000</v>
      </c>
      <c r="J44" s="80">
        <v>1136900000</v>
      </c>
    </row>
    <row r="45" spans="1:10" ht="15" customHeight="1">
      <c r="A45" s="81" t="s">
        <v>101</v>
      </c>
      <c r="B45" s="82">
        <v>1133500000</v>
      </c>
      <c r="C45" s="82">
        <v>1133500000</v>
      </c>
      <c r="D45" s="83">
        <v>1136900000</v>
      </c>
      <c r="F45" s="83">
        <v>1136900000</v>
      </c>
      <c r="G45" s="83">
        <v>1136900000</v>
      </c>
      <c r="H45" s="83">
        <v>1136900000</v>
      </c>
      <c r="I45" s="83">
        <v>1136900000</v>
      </c>
      <c r="J45" s="83">
        <v>1136900000</v>
      </c>
    </row>
    <row r="46" spans="1:10" ht="15" customHeight="1">
      <c r="G46" s="83"/>
      <c r="H46" s="82"/>
      <c r="I46" s="82"/>
      <c r="J46" s="82"/>
    </row>
  </sheetData>
  <mergeCells count="2">
    <mergeCell ref="D1:D2"/>
    <mergeCell ref="H1:H2"/>
  </mergeCells>
  <hyperlinks>
    <hyperlink ref="A3" r:id="rId1" xr:uid="{00000000-0004-0000-0100-000000000000}"/>
    <hyperlink ref="A4" r:id="rId2" xr:uid="{00000000-0004-0000-0100-000001000000}"/>
    <hyperlink ref="A5" r:id="rId3" xr:uid="{00000000-0004-0000-0100-000002000000}"/>
    <hyperlink ref="A6" r:id="rId4" xr:uid="{00000000-0004-0000-0100-000003000000}"/>
    <hyperlink ref="A7" r:id="rId5" xr:uid="{00000000-0004-0000-0100-000004000000}"/>
    <hyperlink ref="A8" r:id="rId6" xr:uid="{00000000-0004-0000-0100-000005000000}"/>
    <hyperlink ref="A9" r:id="rId7" xr:uid="{00000000-0004-0000-0100-000006000000}"/>
    <hyperlink ref="A10" r:id="rId8" xr:uid="{00000000-0004-0000-0100-000007000000}"/>
    <hyperlink ref="A11" r:id="rId9" xr:uid="{00000000-0004-0000-0100-000008000000}"/>
    <hyperlink ref="A12" r:id="rId10" xr:uid="{00000000-0004-0000-0100-000009000000}"/>
    <hyperlink ref="A13" r:id="rId11" xr:uid="{00000000-0004-0000-0100-00000A000000}"/>
    <hyperlink ref="A14" r:id="rId12" xr:uid="{00000000-0004-0000-0100-00000B000000}"/>
    <hyperlink ref="A15" r:id="rId13" xr:uid="{00000000-0004-0000-0100-00000C000000}"/>
    <hyperlink ref="A16" r:id="rId14" xr:uid="{00000000-0004-0000-0100-00000D000000}"/>
    <hyperlink ref="A17" r:id="rId15" xr:uid="{00000000-0004-0000-0100-00000E000000}"/>
    <hyperlink ref="A18" r:id="rId16" xr:uid="{00000000-0004-0000-0100-00000F000000}"/>
    <hyperlink ref="A19" r:id="rId17" xr:uid="{00000000-0004-0000-0100-000010000000}"/>
    <hyperlink ref="A20" r:id="rId18" xr:uid="{00000000-0004-0000-0100-000011000000}"/>
    <hyperlink ref="A21" r:id="rId19" xr:uid="{00000000-0004-0000-0100-000012000000}"/>
    <hyperlink ref="A22" r:id="rId20" xr:uid="{00000000-0004-0000-0100-000013000000}"/>
    <hyperlink ref="A23" r:id="rId21" xr:uid="{00000000-0004-0000-0100-000014000000}"/>
    <hyperlink ref="A24" r:id="rId22" xr:uid="{00000000-0004-0000-0100-000015000000}"/>
    <hyperlink ref="A26" r:id="rId23" xr:uid="{00000000-0004-0000-0100-000016000000}"/>
    <hyperlink ref="A27" r:id="rId24" xr:uid="{00000000-0004-0000-0100-000017000000}"/>
    <hyperlink ref="A28" r:id="rId25" xr:uid="{00000000-0004-0000-0100-000018000000}"/>
    <hyperlink ref="A29" r:id="rId26" xr:uid="{00000000-0004-0000-0100-000019000000}"/>
    <hyperlink ref="A30" r:id="rId27" xr:uid="{00000000-0004-0000-0100-00001A000000}"/>
    <hyperlink ref="A31" r:id="rId28" xr:uid="{00000000-0004-0000-0100-00001B000000}"/>
    <hyperlink ref="A32" r:id="rId29" xr:uid="{00000000-0004-0000-0100-00001C000000}"/>
    <hyperlink ref="A33" r:id="rId30" xr:uid="{00000000-0004-0000-0100-00001D000000}"/>
    <hyperlink ref="A34" r:id="rId31" xr:uid="{00000000-0004-0000-0100-00001E000000}"/>
    <hyperlink ref="A35" r:id="rId32" xr:uid="{00000000-0004-0000-0100-00001F000000}"/>
    <hyperlink ref="A36" r:id="rId33" xr:uid="{00000000-0004-0000-0100-000020000000}"/>
    <hyperlink ref="A37" r:id="rId34" xr:uid="{00000000-0004-0000-0100-000021000000}"/>
    <hyperlink ref="A38" r:id="rId35" xr:uid="{00000000-0004-0000-0100-000022000000}"/>
    <hyperlink ref="A39" r:id="rId36" xr:uid="{00000000-0004-0000-0100-000023000000}"/>
    <hyperlink ref="A40" r:id="rId37" xr:uid="{00000000-0004-0000-0100-000024000000}"/>
    <hyperlink ref="A41" r:id="rId38" xr:uid="{00000000-0004-0000-0100-000025000000}"/>
    <hyperlink ref="A42" r:id="rId39" xr:uid="{00000000-0004-0000-0100-000026000000}"/>
    <hyperlink ref="A43" r:id="rId40" xr:uid="{00000000-0004-0000-0100-000027000000}"/>
    <hyperlink ref="A44" r:id="rId41" xr:uid="{00000000-0004-0000-0100-000028000000}"/>
    <hyperlink ref="A45" r:id="rId42" xr:uid="{00000000-0004-0000-0100-000029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53"/>
  <sheetViews>
    <sheetView tabSelected="1" zoomScale="76" zoomScaleNormal="76" workbookViewId="0">
      <selection activeCell="O7" sqref="O7"/>
    </sheetView>
  </sheetViews>
  <sheetFormatPr defaultColWidth="8.6328125" defaultRowHeight="14.5"/>
  <cols>
    <col min="2" max="2" width="33.90625" customWidth="1"/>
    <col min="3" max="3" width="15.453125" customWidth="1"/>
    <col min="4" max="4" width="20.08984375" customWidth="1"/>
    <col min="5" max="5" width="15.26953125" customWidth="1"/>
    <col min="7" max="7" width="19.6328125" customWidth="1"/>
    <col min="8" max="8" width="17.453125" customWidth="1"/>
    <col min="9" max="9" width="25" customWidth="1"/>
    <col min="10" max="11" width="10" bestFit="1" customWidth="1"/>
  </cols>
  <sheetData>
    <row r="2" spans="2:11" ht="21" customHeight="1">
      <c r="B2" s="15" t="s">
        <v>102</v>
      </c>
      <c r="C2" s="15"/>
      <c r="D2" s="15" t="s">
        <v>1</v>
      </c>
      <c r="E2" s="15"/>
      <c r="G2" s="6" t="s">
        <v>1</v>
      </c>
      <c r="H2" s="6"/>
      <c r="I2" s="6"/>
      <c r="J2" s="6"/>
      <c r="K2" s="6"/>
    </row>
    <row r="3" spans="2:11">
      <c r="B3" s="15" t="s">
        <v>53</v>
      </c>
      <c r="C3" s="15" t="s">
        <v>3</v>
      </c>
      <c r="D3" s="15" t="s">
        <v>4</v>
      </c>
      <c r="E3" s="15" t="s">
        <v>5</v>
      </c>
      <c r="G3" s="15">
        <v>2026</v>
      </c>
      <c r="H3" s="15">
        <v>2027</v>
      </c>
      <c r="I3" s="15">
        <v>2028</v>
      </c>
      <c r="J3" s="15">
        <v>2029</v>
      </c>
      <c r="K3" s="15">
        <v>2030</v>
      </c>
    </row>
    <row r="4" spans="2:11">
      <c r="B4" s="84" t="s">
        <v>103</v>
      </c>
      <c r="C4" s="19"/>
      <c r="D4" s="19"/>
      <c r="E4" s="19"/>
      <c r="G4" s="19"/>
      <c r="H4" s="19"/>
      <c r="I4" s="19"/>
      <c r="J4" s="19"/>
      <c r="K4" s="19"/>
    </row>
    <row r="5" spans="2:11" ht="28.5" customHeight="1">
      <c r="B5" s="85" t="s">
        <v>27</v>
      </c>
      <c r="C5" s="37" t="s">
        <v>104</v>
      </c>
      <c r="D5" s="37" t="s">
        <v>105</v>
      </c>
      <c r="E5" s="37" t="s">
        <v>106</v>
      </c>
      <c r="G5" s="169">
        <f>IS!G20</f>
        <v>5167.7124038400016</v>
      </c>
      <c r="H5" s="169">
        <f>IS!H20</f>
        <v>5480.9817521088016</v>
      </c>
      <c r="I5" s="169">
        <f>IS!I20</f>
        <v>5815.5719547564222</v>
      </c>
      <c r="J5" s="169">
        <f>IS!J20</f>
        <v>6251.6981909107162</v>
      </c>
      <c r="K5" s="169">
        <f>IS!K20</f>
        <v>6640.8465442744609</v>
      </c>
    </row>
    <row r="6" spans="2:11" ht="43.5" customHeight="1">
      <c r="B6" s="84" t="s">
        <v>107</v>
      </c>
      <c r="C6" s="19"/>
      <c r="D6" s="19"/>
      <c r="E6" s="19"/>
      <c r="G6" s="19"/>
      <c r="H6" s="19"/>
      <c r="I6" s="19"/>
      <c r="J6" s="19"/>
      <c r="K6" s="19"/>
    </row>
    <row r="7" spans="2:11">
      <c r="B7" s="85" t="s">
        <v>108</v>
      </c>
      <c r="C7" s="25">
        <v>1450.3</v>
      </c>
      <c r="D7" s="25">
        <v>1592.4</v>
      </c>
      <c r="E7" s="25">
        <v>1771.5</v>
      </c>
      <c r="G7" s="25">
        <f>IS!G10</f>
        <v>1710.8542440000001</v>
      </c>
      <c r="H7" s="25">
        <f>IS!H10</f>
        <v>1830.6140410800003</v>
      </c>
      <c r="I7" s="25">
        <f>IS!I10</f>
        <v>1958.7570239556005</v>
      </c>
      <c r="J7" s="25">
        <f>IS!J10</f>
        <v>2125.2513709918267</v>
      </c>
      <c r="K7" s="25">
        <f>IS!K10</f>
        <v>2274.0189669612546</v>
      </c>
    </row>
    <row r="8" spans="2:11">
      <c r="B8" s="84" t="s">
        <v>109</v>
      </c>
      <c r="C8" s="44">
        <v>-59.4</v>
      </c>
      <c r="D8" s="44">
        <v>-13.8</v>
      </c>
      <c r="E8" s="44">
        <v>-90.6</v>
      </c>
      <c r="G8" s="44">
        <v>-90.6</v>
      </c>
      <c r="H8" s="44">
        <v>-90.6</v>
      </c>
      <c r="I8" s="44">
        <v>-90.6</v>
      </c>
      <c r="J8" s="44">
        <v>-90.6</v>
      </c>
      <c r="K8" s="44">
        <v>-90.6</v>
      </c>
    </row>
    <row r="9" spans="2:11" ht="28.5" customHeight="1">
      <c r="B9" s="85" t="s">
        <v>110</v>
      </c>
      <c r="C9" s="73">
        <v>-301.8</v>
      </c>
      <c r="D9" s="73">
        <v>-306.39999999999998</v>
      </c>
      <c r="E9" s="73">
        <v>-274.2</v>
      </c>
      <c r="G9" s="86">
        <v>-274.2</v>
      </c>
      <c r="H9" s="86">
        <v>-274.2</v>
      </c>
      <c r="I9" s="86">
        <v>-274.2</v>
      </c>
      <c r="J9" s="86">
        <v>-274.2</v>
      </c>
      <c r="K9" s="86">
        <v>-274.2</v>
      </c>
    </row>
    <row r="10" spans="2:11" ht="28.5" customHeight="1">
      <c r="B10" s="84" t="s">
        <v>111</v>
      </c>
      <c r="C10" s="35">
        <v>222.8</v>
      </c>
      <c r="D10" s="35">
        <v>333.3</v>
      </c>
      <c r="E10" s="35">
        <v>294.39999999999998</v>
      </c>
      <c r="G10" s="35">
        <v>294.39999999999998</v>
      </c>
      <c r="H10" s="35">
        <v>294.39999999999998</v>
      </c>
      <c r="I10" s="35">
        <v>294.39999999999998</v>
      </c>
      <c r="J10" s="35">
        <v>294.39999999999998</v>
      </c>
      <c r="K10" s="35">
        <v>294.39999999999998</v>
      </c>
    </row>
    <row r="11" spans="2:11">
      <c r="B11" s="85" t="s">
        <v>43</v>
      </c>
      <c r="C11" s="73">
        <v>-91.3</v>
      </c>
      <c r="D11" s="37">
        <v>0</v>
      </c>
      <c r="E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</row>
    <row r="12" spans="2:11">
      <c r="B12" s="84" t="s">
        <v>112</v>
      </c>
      <c r="C12" s="35">
        <v>302.7</v>
      </c>
      <c r="D12" s="35">
        <v>308.3</v>
      </c>
      <c r="E12" s="35">
        <v>318.3</v>
      </c>
      <c r="G12" s="35">
        <v>318.3</v>
      </c>
      <c r="H12" s="35">
        <v>318.3</v>
      </c>
      <c r="I12" s="35">
        <v>318.3</v>
      </c>
      <c r="J12" s="35">
        <v>318.3</v>
      </c>
      <c r="K12" s="35">
        <v>318.3</v>
      </c>
    </row>
    <row r="13" spans="2:11">
      <c r="B13" s="85" t="s">
        <v>113</v>
      </c>
      <c r="C13" s="25">
        <v>1365.9</v>
      </c>
      <c r="D13" s="25">
        <v>1314.9</v>
      </c>
      <c r="E13" s="25">
        <v>1513.8</v>
      </c>
      <c r="G13" s="25">
        <v>1513.8</v>
      </c>
      <c r="H13" s="25">
        <v>1513.8</v>
      </c>
      <c r="I13" s="25">
        <v>1513.8</v>
      </c>
      <c r="J13" s="25">
        <v>1513.8</v>
      </c>
      <c r="K13" s="25">
        <v>1513.8</v>
      </c>
    </row>
    <row r="14" spans="2:11" ht="28.5" customHeight="1">
      <c r="B14" s="84" t="s">
        <v>114</v>
      </c>
      <c r="C14" s="35">
        <v>101.4</v>
      </c>
      <c r="D14" s="35">
        <v>121.5</v>
      </c>
      <c r="E14" s="35">
        <v>834.7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</row>
    <row r="15" spans="2:11">
      <c r="B15" s="85" t="s">
        <v>115</v>
      </c>
      <c r="C15" s="37">
        <v>26.8</v>
      </c>
      <c r="D15" s="37">
        <v>31.9</v>
      </c>
      <c r="E15" s="37">
        <v>17.3</v>
      </c>
      <c r="G15" s="37">
        <v>17.3</v>
      </c>
      <c r="H15" s="37">
        <v>17.3</v>
      </c>
      <c r="I15" s="37">
        <v>17.3</v>
      </c>
      <c r="J15" s="37">
        <v>17.3</v>
      </c>
      <c r="K15" s="37">
        <v>17.3</v>
      </c>
    </row>
    <row r="16" spans="2:11" ht="28.5" customHeight="1">
      <c r="B16" s="84" t="s">
        <v>116</v>
      </c>
      <c r="C16" s="19"/>
      <c r="D16" s="19"/>
      <c r="E16" s="19"/>
      <c r="G16" s="19"/>
      <c r="H16" s="19"/>
      <c r="I16" s="19"/>
      <c r="J16" s="19"/>
      <c r="K16" s="19"/>
    </row>
    <row r="17" spans="2:11">
      <c r="B17" s="85" t="s">
        <v>117</v>
      </c>
      <c r="C17" s="87">
        <v>-4.0999999999999996</v>
      </c>
      <c r="D17" s="88">
        <v>18.399999999999999</v>
      </c>
      <c r="E17" s="87">
        <v>-89.7</v>
      </c>
      <c r="G17" s="76">
        <f>-((Assumption!$G$28/365)*(IS!G5-IS!E5))</f>
        <v>-85.575057534246668</v>
      </c>
      <c r="H17" s="76">
        <f>-((Assumption!$G$28/365)*(IS!H5-IS!G5))</f>
        <v>-91.565311561643981</v>
      </c>
      <c r="I17" s="76">
        <f>-((Assumption!$G$28/365)*(IS!I5-IS!H5))</f>
        <v>-97.974883370959091</v>
      </c>
      <c r="J17" s="76">
        <f>-((Assumption!$G$28/365)*(IS!J5-IS!I5))</f>
        <v>-127.29736632269595</v>
      </c>
      <c r="K17" s="76">
        <f>-((Assumption!$G$28/365)*(IS!K5-IS!J5))</f>
        <v>-113.74394084951498</v>
      </c>
    </row>
    <row r="18" spans="2:11">
      <c r="B18" s="84" t="s">
        <v>118</v>
      </c>
      <c r="C18" s="35">
        <v>366.4</v>
      </c>
      <c r="D18" s="35">
        <v>42.8</v>
      </c>
      <c r="E18" s="44">
        <v>-408.4</v>
      </c>
      <c r="G18" s="89">
        <f>-((Assumption!$G$29/365)*(IS!G6-IS!E6))</f>
        <v>-81.012587068493417</v>
      </c>
      <c r="H18" s="89">
        <f>-((Assumption!$G$29/365)*(IS!H6-IS!G6))</f>
        <v>-144.29167013589085</v>
      </c>
      <c r="I18" s="89">
        <f>-((Assumption!$G$29/365)*(IS!I6-IS!H6))</f>
        <v>-154.39208704540283</v>
      </c>
      <c r="J18" s="89">
        <f>-((Assumption!$G$29/365)*(IS!J6-IS!I6))</f>
        <v>-200.5994330968484</v>
      </c>
      <c r="K18" s="89">
        <f>-((Assumption!$G$29/365)*(IS!K6-IS!J6))</f>
        <v>-179.24149345536125</v>
      </c>
    </row>
    <row r="19" spans="2:11">
      <c r="B19" s="85" t="s">
        <v>119</v>
      </c>
      <c r="C19" s="37">
        <v>52.5</v>
      </c>
      <c r="D19" s="73">
        <v>-61.9</v>
      </c>
      <c r="E19" s="37">
        <v>103.8</v>
      </c>
      <c r="G19" s="37">
        <v>103.8</v>
      </c>
      <c r="H19" s="37">
        <v>103.8</v>
      </c>
      <c r="I19" s="37">
        <v>103.8</v>
      </c>
      <c r="J19" s="37">
        <v>103.8</v>
      </c>
      <c r="K19" s="37">
        <v>103.8</v>
      </c>
    </row>
    <row r="20" spans="2:11">
      <c r="B20" s="84" t="s">
        <v>120</v>
      </c>
      <c r="C20" s="35">
        <v>100.1</v>
      </c>
      <c r="D20" s="35">
        <v>28</v>
      </c>
      <c r="E20" s="35">
        <v>261</v>
      </c>
      <c r="G20" s="66">
        <f>(Assumption!$G$30/365)*(IS!G6-IS!E6)</f>
        <v>71.866004657534489</v>
      </c>
      <c r="H20" s="66">
        <f>(Assumption!$G$30/365)*(IS!H5-IS!G5)</f>
        <v>419.67434465753496</v>
      </c>
      <c r="I20" s="66">
        <f>(Assumption!$G$30/365)*(IS!I6-IS!H6)</f>
        <v>136.96072237898639</v>
      </c>
      <c r="J20" s="66">
        <f>(Assumption!$G$30/365)*(IS!J6-IS!I6)</f>
        <v>177.95111000526873</v>
      </c>
      <c r="K20" s="66">
        <f>(Assumption!$G$30/365)*(IS!K6-IS!J6)</f>
        <v>159.00455064588499</v>
      </c>
    </row>
    <row r="21" spans="2:11">
      <c r="B21" s="85" t="s">
        <v>121</v>
      </c>
      <c r="C21" s="73">
        <v>-110.8</v>
      </c>
      <c r="D21" s="73">
        <v>-72.2</v>
      </c>
      <c r="E21" s="73">
        <v>-120.7</v>
      </c>
      <c r="G21" s="73">
        <v>-120.7</v>
      </c>
      <c r="H21" s="73">
        <v>-120.7</v>
      </c>
      <c r="I21" s="73">
        <v>-120.7</v>
      </c>
      <c r="J21" s="73">
        <v>-120.7</v>
      </c>
      <c r="K21" s="73">
        <v>-120.7</v>
      </c>
    </row>
    <row r="22" spans="2:11">
      <c r="B22" s="84" t="s">
        <v>122</v>
      </c>
      <c r="C22" s="70">
        <v>-1443.8</v>
      </c>
      <c r="D22" s="70">
        <v>-1294.9000000000001</v>
      </c>
      <c r="E22" s="70">
        <v>-1576.7</v>
      </c>
      <c r="G22" s="70">
        <v>-1576.7</v>
      </c>
      <c r="H22" s="70">
        <v>-1576.7</v>
      </c>
      <c r="I22" s="70">
        <v>-1576.7</v>
      </c>
      <c r="J22" s="70">
        <v>-1576.7</v>
      </c>
      <c r="K22" s="70">
        <v>-1576.7</v>
      </c>
    </row>
    <row r="23" spans="2:11">
      <c r="B23" s="85" t="s">
        <v>123</v>
      </c>
      <c r="C23" s="73">
        <v>-93.7</v>
      </c>
      <c r="D23" s="37">
        <v>291</v>
      </c>
      <c r="E23" s="37">
        <v>336.3</v>
      </c>
      <c r="G23" s="37">
        <v>336.3</v>
      </c>
      <c r="H23" s="37">
        <v>336.3</v>
      </c>
      <c r="I23" s="37">
        <v>336.3</v>
      </c>
      <c r="J23" s="37">
        <v>336.3</v>
      </c>
      <c r="K23" s="37">
        <v>336.3</v>
      </c>
    </row>
    <row r="24" spans="2:11" ht="43.5" customHeight="1">
      <c r="B24" s="84" t="s">
        <v>124</v>
      </c>
      <c r="C24" s="41">
        <v>6008.7</v>
      </c>
      <c r="D24" s="41">
        <v>6095.6</v>
      </c>
      <c r="E24" s="41">
        <v>4747.5</v>
      </c>
      <c r="G24" s="41">
        <f>SUM(G4:G23)</f>
        <v>7305.5450078947943</v>
      </c>
      <c r="H24" s="41">
        <f>SUM(H4:H23)</f>
        <v>8017.1131561487982</v>
      </c>
      <c r="I24" s="41">
        <f>SUM(I4:I23)</f>
        <v>8180.6227306746459</v>
      </c>
      <c r="J24" s="41">
        <f>SUM(J4:J23)</f>
        <v>8748.7038724882641</v>
      </c>
      <c r="K24" s="41">
        <f>SUM(K4:K23)</f>
        <v>9302.5846275767162</v>
      </c>
    </row>
    <row r="25" spans="2:11">
      <c r="B25" s="85" t="s">
        <v>125</v>
      </c>
      <c r="C25" s="68"/>
      <c r="D25" s="68"/>
      <c r="E25" s="68"/>
      <c r="G25" s="68"/>
      <c r="H25" s="68"/>
      <c r="I25" s="68"/>
      <c r="J25" s="68"/>
      <c r="K25" s="68"/>
    </row>
    <row r="26" spans="2:11">
      <c r="B26" s="84" t="s">
        <v>126</v>
      </c>
      <c r="C26" s="44">
        <v>-610.5</v>
      </c>
      <c r="D26" s="44">
        <v>-627.5</v>
      </c>
      <c r="E26" s="44">
        <v>-333.6</v>
      </c>
      <c r="G26" s="44">
        <v>-333.6</v>
      </c>
      <c r="H26" s="44">
        <v>-333.6</v>
      </c>
      <c r="I26" s="44">
        <v>-333.6</v>
      </c>
      <c r="J26" s="44">
        <v>-333.6</v>
      </c>
      <c r="K26" s="44">
        <v>-333.6</v>
      </c>
    </row>
    <row r="27" spans="2:11" ht="28.5" customHeight="1">
      <c r="B27" s="85" t="s">
        <v>127</v>
      </c>
      <c r="C27" s="37">
        <v>2.5</v>
      </c>
      <c r="D27" s="37">
        <v>10.3</v>
      </c>
      <c r="E27" s="37">
        <v>1.1000000000000001</v>
      </c>
      <c r="G27" s="37">
        <v>1.1000000000000001</v>
      </c>
      <c r="H27" s="37">
        <v>1.1000000000000001</v>
      </c>
      <c r="I27" s="37">
        <v>1.1000000000000001</v>
      </c>
      <c r="J27" s="37">
        <v>1.1000000000000001</v>
      </c>
      <c r="K27" s="37">
        <v>1.1000000000000001</v>
      </c>
    </row>
    <row r="28" spans="2:11">
      <c r="B28" s="84" t="s">
        <v>128</v>
      </c>
      <c r="C28" s="35">
        <v>616.9</v>
      </c>
      <c r="D28" s="35">
        <v>768.2</v>
      </c>
      <c r="E28" s="35">
        <v>391.8</v>
      </c>
      <c r="G28" s="35">
        <v>391.8</v>
      </c>
      <c r="H28" s="35">
        <v>391.8</v>
      </c>
      <c r="I28" s="35">
        <v>391.8</v>
      </c>
      <c r="J28" s="35">
        <v>391.8</v>
      </c>
      <c r="K28" s="35">
        <v>391.8</v>
      </c>
    </row>
    <row r="29" spans="2:11" ht="28.5" customHeight="1">
      <c r="B29" s="85" t="s">
        <v>129</v>
      </c>
      <c r="C29" s="90">
        <v>-2333.6</v>
      </c>
      <c r="D29" s="90">
        <v>-2777.5</v>
      </c>
      <c r="E29" s="90">
        <v>-2305.5</v>
      </c>
      <c r="G29" s="90">
        <f>-IS!G5*Assumption!$G$25</f>
        <v>-2387.23848</v>
      </c>
      <c r="H29" s="90">
        <f>-IS!H5*Assumption!$G$25</f>
        <v>-2554.3451736000006</v>
      </c>
      <c r="I29" s="90">
        <f>-IS!I5*Assumption!$G$25</f>
        <v>-2733.1493357520008</v>
      </c>
      <c r="J29" s="90">
        <f>-IS!J5*Assumption!$G$25</f>
        <v>-2965.4670292909209</v>
      </c>
      <c r="K29" s="90">
        <f>-IS!K5*Assumption!$G$25</f>
        <v>-3173.0497213412859</v>
      </c>
    </row>
    <row r="30" spans="2:11" ht="28.5" customHeight="1">
      <c r="B30" s="84" t="s">
        <v>130</v>
      </c>
      <c r="C30" s="35">
        <v>0</v>
      </c>
      <c r="D30" s="35">
        <v>0</v>
      </c>
      <c r="E30" s="44">
        <v>-177.1</v>
      </c>
      <c r="G30" s="44">
        <v>0</v>
      </c>
      <c r="H30" s="35">
        <v>0</v>
      </c>
      <c r="I30" s="35">
        <v>0</v>
      </c>
      <c r="J30" s="35">
        <v>0</v>
      </c>
      <c r="K30" s="35">
        <v>0</v>
      </c>
    </row>
    <row r="31" spans="2:11" ht="28.5" customHeight="1">
      <c r="B31" s="85" t="s">
        <v>131</v>
      </c>
      <c r="C31" s="37">
        <v>110</v>
      </c>
      <c r="D31" s="37">
        <v>0</v>
      </c>
      <c r="E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</row>
    <row r="32" spans="2:11">
      <c r="B32" s="84" t="s">
        <v>115</v>
      </c>
      <c r="C32" s="44">
        <v>-56.1</v>
      </c>
      <c r="D32" s="44">
        <v>-72.7</v>
      </c>
      <c r="E32" s="44">
        <v>-62.1</v>
      </c>
      <c r="G32" s="44">
        <v>-62.1</v>
      </c>
      <c r="H32" s="44">
        <v>-62.1</v>
      </c>
      <c r="I32" s="44">
        <v>-62.1</v>
      </c>
      <c r="J32" s="44">
        <v>-62.1</v>
      </c>
      <c r="K32" s="44">
        <v>-62.1</v>
      </c>
    </row>
    <row r="33" spans="2:11" ht="15" customHeight="1">
      <c r="B33" s="85" t="s">
        <v>132</v>
      </c>
      <c r="C33" s="91">
        <v>-2270.8000000000002</v>
      </c>
      <c r="D33" s="91">
        <v>-2699.2</v>
      </c>
      <c r="E33" s="91">
        <v>-2485.4</v>
      </c>
      <c r="G33" s="91">
        <f>SUM(G26:G32)</f>
        <v>-2390.0384799999997</v>
      </c>
      <c r="H33" s="91">
        <f>SUM(H26:H32)</f>
        <v>-2557.1451736000004</v>
      </c>
      <c r="I33" s="91">
        <f>SUM(I26:I32)</f>
        <v>-2735.9493357520005</v>
      </c>
      <c r="J33" s="91">
        <f>SUM(J26:J32)</f>
        <v>-2968.2670292909206</v>
      </c>
      <c r="K33" s="91">
        <f>SUM(K26:K32)</f>
        <v>-3175.8497213412857</v>
      </c>
    </row>
    <row r="34" spans="2:11">
      <c r="B34" s="84" t="s">
        <v>133</v>
      </c>
      <c r="C34" s="19"/>
      <c r="D34" s="19"/>
      <c r="E34" s="19"/>
      <c r="G34" s="19"/>
      <c r="H34" s="19"/>
      <c r="I34" s="19"/>
      <c r="J34" s="19"/>
      <c r="K34" s="19"/>
    </row>
    <row r="35" spans="2:11" ht="28.5" customHeight="1">
      <c r="B35" s="85" t="s">
        <v>134</v>
      </c>
      <c r="C35" s="73">
        <v>-175</v>
      </c>
      <c r="D35" s="37">
        <v>0</v>
      </c>
      <c r="E35" s="37">
        <v>0</v>
      </c>
      <c r="G35" s="37">
        <v>0</v>
      </c>
      <c r="H35" s="37">
        <v>0</v>
      </c>
      <c r="I35" s="73">
        <v>0</v>
      </c>
      <c r="J35" s="73">
        <v>0</v>
      </c>
      <c r="K35" s="73">
        <v>0</v>
      </c>
    </row>
    <row r="36" spans="2:11" ht="28.5" customHeight="1">
      <c r="B36" s="84" t="s">
        <v>135</v>
      </c>
      <c r="C36" s="35">
        <v>114.6</v>
      </c>
      <c r="D36" s="35">
        <v>123.8</v>
      </c>
      <c r="E36" s="35">
        <v>2.4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</row>
    <row r="37" spans="2:11">
      <c r="B37" s="85" t="s">
        <v>136</v>
      </c>
      <c r="C37" s="73">
        <v>-78.8</v>
      </c>
      <c r="D37" s="73">
        <v>-157.5</v>
      </c>
      <c r="E37" s="73">
        <v>-7.8</v>
      </c>
      <c r="G37" s="73">
        <v>0</v>
      </c>
      <c r="H37" s="73">
        <v>0</v>
      </c>
      <c r="I37" s="73">
        <v>0</v>
      </c>
      <c r="J37" s="73">
        <v>0</v>
      </c>
      <c r="K37" s="73">
        <v>0</v>
      </c>
    </row>
    <row r="38" spans="2:11" ht="28.5" customHeight="1">
      <c r="B38" s="84" t="s">
        <v>137</v>
      </c>
      <c r="C38" s="30">
        <v>1497.8</v>
      </c>
      <c r="D38" s="30">
        <v>1995.3</v>
      </c>
      <c r="E38" s="30">
        <v>1748.5</v>
      </c>
      <c r="G38" s="30">
        <v>1748.5</v>
      </c>
      <c r="H38" s="30">
        <v>1748.5</v>
      </c>
      <c r="I38" s="30">
        <v>1748.5</v>
      </c>
      <c r="J38" s="30">
        <v>1748.5</v>
      </c>
      <c r="K38" s="30">
        <v>1748.5</v>
      </c>
    </row>
    <row r="39" spans="2:11">
      <c r="B39" s="85" t="s">
        <v>138</v>
      </c>
      <c r="C39" s="90">
        <v>-1000</v>
      </c>
      <c r="D39" s="90">
        <v>-1825.1</v>
      </c>
      <c r="E39" s="90">
        <v>-1250</v>
      </c>
      <c r="G39" s="90">
        <v>-1250</v>
      </c>
      <c r="H39" s="90">
        <v>-1250</v>
      </c>
      <c r="I39" s="90">
        <v>-1250</v>
      </c>
      <c r="J39" s="90">
        <v>-1250</v>
      </c>
      <c r="K39" s="90">
        <v>-1250</v>
      </c>
    </row>
    <row r="40" spans="2:11" ht="28.5" customHeight="1">
      <c r="B40" s="84" t="s">
        <v>139</v>
      </c>
      <c r="C40" s="35">
        <v>167.4</v>
      </c>
      <c r="D40" s="35">
        <v>108</v>
      </c>
      <c r="E40" s="35">
        <v>77</v>
      </c>
      <c r="G40" s="35">
        <v>77</v>
      </c>
      <c r="H40" s="35">
        <v>77</v>
      </c>
      <c r="I40" s="35">
        <v>77</v>
      </c>
      <c r="J40" s="35">
        <v>77</v>
      </c>
      <c r="K40" s="35">
        <v>77</v>
      </c>
    </row>
    <row r="41" spans="2:11">
      <c r="B41" s="85" t="s">
        <v>140</v>
      </c>
      <c r="C41" s="90">
        <v>-2431.8000000000002</v>
      </c>
      <c r="D41" s="90">
        <v>-2585</v>
      </c>
      <c r="E41" s="90">
        <v>-2771.4</v>
      </c>
      <c r="G41" s="90">
        <f>E41*(1+Assumption!$G$33)</f>
        <v>-2937.6840000000002</v>
      </c>
      <c r="H41" s="90">
        <f>G41*(1+Assumption!$G$33)</f>
        <v>-3113.9450400000005</v>
      </c>
      <c r="I41" s="90">
        <f>H41*(1+Assumption!$G$33)</f>
        <v>-3300.7817424000009</v>
      </c>
      <c r="J41" s="90">
        <f>I41*(1+Assumption!$G$33)</f>
        <v>-3498.8286469440013</v>
      </c>
      <c r="K41" s="90">
        <f>J41*(1+Assumption!$G$33)</f>
        <v>-3708.7583657606415</v>
      </c>
    </row>
    <row r="42" spans="2:11">
      <c r="B42" s="84" t="s">
        <v>141</v>
      </c>
      <c r="C42" s="44">
        <v>-984.4</v>
      </c>
      <c r="D42" s="70">
        <v>-1266.7</v>
      </c>
      <c r="E42" s="35">
        <v>0</v>
      </c>
      <c r="G42" s="35">
        <v>0</v>
      </c>
      <c r="H42" s="70">
        <v>0</v>
      </c>
      <c r="I42" s="44">
        <v>0</v>
      </c>
      <c r="J42" s="44">
        <v>0</v>
      </c>
      <c r="K42" s="44">
        <v>0</v>
      </c>
    </row>
    <row r="43" spans="2:11" ht="28.5" customHeight="1">
      <c r="B43" s="85" t="s">
        <v>142</v>
      </c>
      <c r="C43" s="73">
        <v>-89.3</v>
      </c>
      <c r="D43" s="73">
        <v>-100.4</v>
      </c>
      <c r="E43" s="73">
        <v>-87.4</v>
      </c>
      <c r="G43" s="73">
        <v>-87.4</v>
      </c>
      <c r="H43" s="73">
        <v>-87.4</v>
      </c>
      <c r="I43" s="73">
        <v>-87.4</v>
      </c>
      <c r="J43" s="73">
        <v>-87.4</v>
      </c>
      <c r="K43" s="73">
        <v>-87.4</v>
      </c>
    </row>
    <row r="44" spans="2:11">
      <c r="B44" s="84" t="s">
        <v>115</v>
      </c>
      <c r="C44" s="44">
        <v>-11.1</v>
      </c>
      <c r="D44" s="44">
        <v>-10.6</v>
      </c>
      <c r="E44" s="44">
        <v>-9.3000000000000007</v>
      </c>
      <c r="G44" s="44">
        <v>-9.3000000000000007</v>
      </c>
      <c r="H44" s="44">
        <v>-9.3000000000000007</v>
      </c>
      <c r="I44" s="44">
        <v>-9.3000000000000007</v>
      </c>
      <c r="J44" s="44">
        <v>-9.3000000000000007</v>
      </c>
      <c r="K44" s="44">
        <v>-9.3000000000000007</v>
      </c>
    </row>
    <row r="45" spans="2:11" ht="15" customHeight="1">
      <c r="B45" s="85" t="s">
        <v>143</v>
      </c>
      <c r="C45" s="91">
        <v>-2990.6</v>
      </c>
      <c r="D45" s="91">
        <v>-3718.2</v>
      </c>
      <c r="E45" s="91">
        <v>-2298</v>
      </c>
      <c r="G45" s="91">
        <f>SUM(G35:G44)</f>
        <v>-2458.8840000000005</v>
      </c>
      <c r="H45" s="91">
        <f>SUM(H35:H44)</f>
        <v>-2635.1450400000008</v>
      </c>
      <c r="I45" s="91">
        <f>SUM(I35:I44)</f>
        <v>-2821.9817424000012</v>
      </c>
      <c r="J45" s="91">
        <f>SUM(J35:J44)</f>
        <v>-3020.0286469440016</v>
      </c>
      <c r="K45" s="91">
        <f>SUM(K35:K44)</f>
        <v>-3229.9583657606418</v>
      </c>
    </row>
    <row r="46" spans="2:11" ht="57.75" customHeight="1">
      <c r="B46" s="84" t="s">
        <v>144</v>
      </c>
      <c r="C46" s="44">
        <v>-14.2</v>
      </c>
      <c r="D46" s="35">
        <v>56.5</v>
      </c>
      <c r="E46" s="44">
        <v>-30.5</v>
      </c>
      <c r="G46" s="44">
        <v>-30.5</v>
      </c>
      <c r="H46" s="44">
        <v>-30.5</v>
      </c>
      <c r="I46" s="44">
        <v>-30.5</v>
      </c>
      <c r="J46" s="44">
        <v>-30.5</v>
      </c>
      <c r="K46" s="44">
        <v>-30.5</v>
      </c>
    </row>
    <row r="47" spans="2:11" ht="58.5" customHeight="1">
      <c r="B47" s="85" t="s">
        <v>145</v>
      </c>
      <c r="C47" s="52">
        <v>733.1</v>
      </c>
      <c r="D47" s="92">
        <v>-265.3</v>
      </c>
      <c r="E47" s="92">
        <v>-66.400000000000006</v>
      </c>
      <c r="G47" s="92">
        <v>-66.400000000000006</v>
      </c>
      <c r="H47" s="92">
        <v>-66.400000000000006</v>
      </c>
      <c r="I47" s="92">
        <v>-66.400000000000006</v>
      </c>
      <c r="J47" s="92">
        <v>-66.400000000000006</v>
      </c>
      <c r="K47" s="92">
        <v>-66.400000000000006</v>
      </c>
    </row>
    <row r="48" spans="2:11">
      <c r="B48" s="84" t="s">
        <v>146</v>
      </c>
      <c r="C48" s="19"/>
      <c r="D48" s="19"/>
      <c r="E48" s="19"/>
      <c r="G48" s="19"/>
      <c r="H48" s="19"/>
      <c r="I48" s="19"/>
      <c r="J48" s="19"/>
      <c r="K48" s="19"/>
    </row>
    <row r="49" spans="2:11" ht="43.5" customHeight="1">
      <c r="B49" s="85" t="s">
        <v>147</v>
      </c>
      <c r="C49" s="25">
        <v>2818.4</v>
      </c>
      <c r="D49" s="25">
        <v>3551.5</v>
      </c>
      <c r="E49" s="25">
        <v>3286.2</v>
      </c>
      <c r="G49" s="25">
        <v>3219.8</v>
      </c>
      <c r="H49" s="30">
        <f>G50</f>
        <v>5645.9225278947943</v>
      </c>
      <c r="I49" s="30">
        <f>H50</f>
        <v>8440.2454704435913</v>
      </c>
      <c r="J49" s="30">
        <f>I50</f>
        <v>11032.437122966237</v>
      </c>
      <c r="K49" s="30">
        <f>J50</f>
        <v>13762.345319219579</v>
      </c>
    </row>
    <row r="50" spans="2:11" ht="43.5" customHeight="1">
      <c r="B50" s="84" t="s">
        <v>148</v>
      </c>
      <c r="C50" s="30">
        <v>3551.5</v>
      </c>
      <c r="D50" s="30">
        <v>3286.2</v>
      </c>
      <c r="E50" s="30">
        <v>3219.8</v>
      </c>
      <c r="G50" s="30">
        <f>SUM(G49+G24+G33+G45+G46)</f>
        <v>5645.9225278947943</v>
      </c>
      <c r="H50" s="30">
        <f>SUM(H49+H24+H33+H45+H46)</f>
        <v>8440.2454704435913</v>
      </c>
      <c r="I50" s="30">
        <f>SUM(I49+I24+I33+I45+I46)</f>
        <v>11032.437122966237</v>
      </c>
      <c r="J50" s="30">
        <f>SUM(J49+J24+J33+J45+J46)</f>
        <v>13762.345319219579</v>
      </c>
      <c r="K50" s="30">
        <f>SUM(K49+K24+K33+K45+K46)</f>
        <v>16628.621859694369</v>
      </c>
    </row>
    <row r="51" spans="2:11">
      <c r="B51" s="85" t="s">
        <v>149</v>
      </c>
      <c r="C51" s="68"/>
      <c r="D51" s="68"/>
      <c r="E51" s="68"/>
      <c r="G51" s="68"/>
      <c r="H51" s="68"/>
      <c r="I51" s="68"/>
      <c r="J51" s="68"/>
      <c r="K51" s="68"/>
    </row>
    <row r="52" spans="2:11">
      <c r="B52" s="84" t="s">
        <v>150</v>
      </c>
      <c r="C52" s="35">
        <v>524.29999999999995</v>
      </c>
      <c r="D52" s="35">
        <v>570.70000000000005</v>
      </c>
      <c r="E52" s="35">
        <v>588.29999999999995</v>
      </c>
      <c r="G52" s="35">
        <v>588.29999999999995</v>
      </c>
      <c r="H52" s="35">
        <v>588.29999999999995</v>
      </c>
      <c r="I52" s="35">
        <v>588.29999999999995</v>
      </c>
      <c r="J52" s="35">
        <v>588.29999999999995</v>
      </c>
      <c r="K52" s="35">
        <v>588.29999999999995</v>
      </c>
    </row>
    <row r="53" spans="2:11" ht="15" customHeight="1">
      <c r="B53" s="93" t="s">
        <v>151</v>
      </c>
      <c r="C53" s="94" t="s">
        <v>152</v>
      </c>
      <c r="D53" s="94" t="s">
        <v>153</v>
      </c>
      <c r="E53" s="94" t="s">
        <v>154</v>
      </c>
      <c r="G53" s="94" t="s">
        <v>154</v>
      </c>
      <c r="H53" s="94" t="s">
        <v>154</v>
      </c>
      <c r="I53" s="94" t="s">
        <v>154</v>
      </c>
      <c r="J53" s="94">
        <v>715.6</v>
      </c>
      <c r="K53" s="94">
        <v>715.6</v>
      </c>
    </row>
  </sheetData>
  <mergeCells count="1">
    <mergeCell ref="G2:K2"/>
  </mergeCells>
  <hyperlinks>
    <hyperlink ref="B4" r:id="rId1" xr:uid="{00000000-0004-0000-0200-000000000000}"/>
    <hyperlink ref="B5" r:id="rId2" xr:uid="{00000000-0004-0000-0200-000001000000}"/>
    <hyperlink ref="B6" r:id="rId3" xr:uid="{00000000-0004-0000-0200-000002000000}"/>
    <hyperlink ref="B7" r:id="rId4" xr:uid="{00000000-0004-0000-0200-000003000000}"/>
    <hyperlink ref="B8" r:id="rId5" xr:uid="{00000000-0004-0000-0200-000004000000}"/>
    <hyperlink ref="B9" r:id="rId6" xr:uid="{00000000-0004-0000-0200-000005000000}"/>
    <hyperlink ref="B10" r:id="rId7" xr:uid="{00000000-0004-0000-0200-000006000000}"/>
    <hyperlink ref="B11" r:id="rId8" xr:uid="{00000000-0004-0000-0200-000007000000}"/>
    <hyperlink ref="B12" r:id="rId9" xr:uid="{00000000-0004-0000-0200-000008000000}"/>
    <hyperlink ref="B13" r:id="rId10" xr:uid="{00000000-0004-0000-0200-000009000000}"/>
    <hyperlink ref="B14" r:id="rId11" xr:uid="{00000000-0004-0000-0200-00000A000000}"/>
    <hyperlink ref="B15" r:id="rId12" xr:uid="{00000000-0004-0000-0200-00000B000000}"/>
    <hyperlink ref="B16" r:id="rId13" xr:uid="{00000000-0004-0000-0200-00000C000000}"/>
    <hyperlink ref="B17" r:id="rId14" xr:uid="{00000000-0004-0000-0200-00000D000000}"/>
    <hyperlink ref="B18" r:id="rId15" xr:uid="{00000000-0004-0000-0200-00000E000000}"/>
    <hyperlink ref="B19" r:id="rId16" xr:uid="{00000000-0004-0000-0200-00000F000000}"/>
    <hyperlink ref="B20" r:id="rId17" xr:uid="{00000000-0004-0000-0200-000010000000}"/>
    <hyperlink ref="B21" r:id="rId18" xr:uid="{00000000-0004-0000-0200-000011000000}"/>
    <hyperlink ref="B22" r:id="rId19" xr:uid="{00000000-0004-0000-0200-000012000000}"/>
    <hyperlink ref="B23" r:id="rId20" xr:uid="{00000000-0004-0000-0200-000013000000}"/>
    <hyperlink ref="B24" r:id="rId21" xr:uid="{00000000-0004-0000-0200-000014000000}"/>
    <hyperlink ref="B25" r:id="rId22" xr:uid="{00000000-0004-0000-0200-000015000000}"/>
    <hyperlink ref="B26" r:id="rId23" xr:uid="{00000000-0004-0000-0200-000016000000}"/>
    <hyperlink ref="B27" r:id="rId24" xr:uid="{00000000-0004-0000-0200-000017000000}"/>
    <hyperlink ref="B28" r:id="rId25" xr:uid="{00000000-0004-0000-0200-000018000000}"/>
    <hyperlink ref="B29" r:id="rId26" xr:uid="{00000000-0004-0000-0200-000019000000}"/>
    <hyperlink ref="B30" r:id="rId27" xr:uid="{00000000-0004-0000-0200-00001A000000}"/>
    <hyperlink ref="B31" r:id="rId28" xr:uid="{00000000-0004-0000-0200-00001B000000}"/>
    <hyperlink ref="B32" r:id="rId29" xr:uid="{00000000-0004-0000-0200-00001C000000}"/>
    <hyperlink ref="B33" r:id="rId30" xr:uid="{00000000-0004-0000-0200-00001D000000}"/>
    <hyperlink ref="B34" r:id="rId31" xr:uid="{00000000-0004-0000-0200-00001E000000}"/>
    <hyperlink ref="B35" r:id="rId32" xr:uid="{00000000-0004-0000-0200-00001F000000}"/>
    <hyperlink ref="B36" r:id="rId33" xr:uid="{00000000-0004-0000-0200-000020000000}"/>
    <hyperlink ref="B37" r:id="rId34" xr:uid="{00000000-0004-0000-0200-000021000000}"/>
    <hyperlink ref="B38" r:id="rId35" xr:uid="{00000000-0004-0000-0200-000022000000}"/>
    <hyperlink ref="B39" r:id="rId36" xr:uid="{00000000-0004-0000-0200-000023000000}"/>
    <hyperlink ref="B40" r:id="rId37" xr:uid="{00000000-0004-0000-0200-000024000000}"/>
    <hyperlink ref="B41" r:id="rId38" xr:uid="{00000000-0004-0000-0200-000025000000}"/>
    <hyperlink ref="B42" r:id="rId39" xr:uid="{00000000-0004-0000-0200-000026000000}"/>
    <hyperlink ref="B43" r:id="rId40" xr:uid="{00000000-0004-0000-0200-000027000000}"/>
    <hyperlink ref="B44" r:id="rId41" xr:uid="{00000000-0004-0000-0200-000028000000}"/>
    <hyperlink ref="B45" r:id="rId42" xr:uid="{00000000-0004-0000-0200-000029000000}"/>
    <hyperlink ref="B46" r:id="rId43" xr:uid="{00000000-0004-0000-0200-00002A000000}"/>
    <hyperlink ref="B47" r:id="rId44" xr:uid="{00000000-0004-0000-0200-00002B000000}"/>
    <hyperlink ref="B48" r:id="rId45" xr:uid="{00000000-0004-0000-0200-00002C000000}"/>
    <hyperlink ref="B49" r:id="rId46" xr:uid="{00000000-0004-0000-0200-00002D000000}"/>
    <hyperlink ref="B50" r:id="rId47" xr:uid="{00000000-0004-0000-0200-00002E000000}"/>
    <hyperlink ref="B51" r:id="rId48" xr:uid="{00000000-0004-0000-0200-00002F000000}"/>
    <hyperlink ref="B52" r:id="rId49" xr:uid="{00000000-0004-0000-0200-000030000000}"/>
    <hyperlink ref="B53" r:id="rId50" xr:uid="{00000000-0004-0000-0200-000031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"/>
  <sheetViews>
    <sheetView zoomScaleNormal="100" workbookViewId="0">
      <selection activeCell="L9" sqref="L9"/>
    </sheetView>
  </sheetViews>
  <sheetFormatPr defaultColWidth="8.6328125" defaultRowHeight="14.5"/>
  <cols>
    <col min="1" max="1" width="21.6328125" customWidth="1"/>
    <col min="2" max="2" width="18" customWidth="1"/>
    <col min="3" max="3" width="8.1796875" customWidth="1"/>
    <col min="4" max="4" width="18" customWidth="1"/>
    <col min="5" max="5" width="12.54296875" customWidth="1"/>
    <col min="6" max="6" width="11.81640625" customWidth="1"/>
    <col min="7" max="7" width="14.54296875" customWidth="1"/>
    <col min="8" max="8" width="9" customWidth="1"/>
  </cols>
  <sheetData>
    <row r="1" spans="1:7">
      <c r="A1" s="168" t="s">
        <v>155</v>
      </c>
      <c r="B1" s="168" t="s">
        <v>156</v>
      </c>
      <c r="C1" s="168" t="s">
        <v>157</v>
      </c>
      <c r="D1" s="168" t="s">
        <v>158</v>
      </c>
      <c r="E1" s="168" t="s">
        <v>159</v>
      </c>
      <c r="F1" s="168"/>
      <c r="G1" s="168" t="s">
        <v>160</v>
      </c>
    </row>
    <row r="2" spans="1:7" ht="15" customHeight="1">
      <c r="A2" t="s">
        <v>161</v>
      </c>
      <c r="B2" s="95"/>
      <c r="C2" s="95" t="s">
        <v>159</v>
      </c>
      <c r="G2" s="95">
        <f>IF($C$2="Bear",C2,IF($C$2="Base",D2,E2))</f>
        <v>0</v>
      </c>
    </row>
    <row r="3" spans="1:7" ht="15" thickBot="1">
      <c r="A3" s="158" t="s">
        <v>162</v>
      </c>
      <c r="B3" s="158"/>
      <c r="C3" s="159"/>
      <c r="D3" s="159"/>
      <c r="E3" s="159"/>
      <c r="F3" s="159"/>
      <c r="G3" s="158"/>
    </row>
    <row r="4" spans="1:7">
      <c r="A4" s="64" t="s">
        <v>163</v>
      </c>
      <c r="B4" s="162">
        <v>2.1999999999999999E-2</v>
      </c>
      <c r="C4" s="163">
        <v>0.02</v>
      </c>
      <c r="D4" s="163">
        <v>4.4999999999999998E-2</v>
      </c>
      <c r="E4" s="162">
        <v>7.0000000000000007E-2</v>
      </c>
      <c r="F4" s="98"/>
      <c r="G4" s="164">
        <f>IF($C$2="Bear",C4,IF($C$2="Base",D4,E4))</f>
        <v>7.0000000000000007E-2</v>
      </c>
    </row>
    <row r="5" spans="1:7">
      <c r="A5" s="100" t="s">
        <v>164</v>
      </c>
      <c r="B5" s="161">
        <v>2.1999999999999999E-2</v>
      </c>
      <c r="C5" s="161">
        <v>0.03</v>
      </c>
      <c r="D5" s="161">
        <v>0.06</v>
      </c>
      <c r="E5" s="161">
        <v>0.09</v>
      </c>
      <c r="F5" s="159"/>
      <c r="G5" s="102">
        <f>IF($C$2="Bear",C5,IF($C$2="Base",D5,E5))</f>
        <v>0.09</v>
      </c>
    </row>
    <row r="6" spans="1:7" ht="15" customHeight="1">
      <c r="A6" s="100" t="s">
        <v>165</v>
      </c>
      <c r="B6" s="161">
        <v>2.1999999999999999E-2</v>
      </c>
      <c r="C6" s="161">
        <v>3.5000000000000003E-2</v>
      </c>
      <c r="D6" s="161">
        <v>7.0000000000000007E-2</v>
      </c>
      <c r="E6" s="160">
        <v>0.1</v>
      </c>
      <c r="F6" s="159"/>
      <c r="G6" s="111">
        <f>IF($C$2="Bear",C6,IF($C$2="Base",D6,E6))</f>
        <v>0.1</v>
      </c>
    </row>
    <row r="7" spans="1:7" ht="15" customHeight="1">
      <c r="A7" s="100" t="s">
        <v>166</v>
      </c>
      <c r="B7" s="160">
        <v>2.1999999999999999E-2</v>
      </c>
      <c r="C7" s="161">
        <v>3.5000000000000003E-2</v>
      </c>
      <c r="D7" s="161">
        <v>0.06</v>
      </c>
      <c r="E7" s="160">
        <v>8.5000000000000006E-2</v>
      </c>
      <c r="F7" s="159"/>
      <c r="G7" s="107">
        <f>IF($C$2="Bear",C7,IF($C$2="Base",D7,E7))</f>
        <v>8.5000000000000006E-2</v>
      </c>
    </row>
    <row r="8" spans="1:7" ht="15" thickBot="1">
      <c r="A8" s="103" t="s">
        <v>167</v>
      </c>
      <c r="B8" s="105">
        <v>2.1999999999999999E-2</v>
      </c>
      <c r="C8" s="104">
        <v>0.03</v>
      </c>
      <c r="D8" s="104">
        <v>0.05</v>
      </c>
      <c r="E8" s="105">
        <v>7.0000000000000007E-2</v>
      </c>
      <c r="F8" s="106"/>
      <c r="G8" s="165">
        <f>IF($C$2="Bear",C8,IF($C$2="Base",D8,E8))</f>
        <v>7.0000000000000007E-2</v>
      </c>
    </row>
    <row r="9" spans="1:7" ht="15" customHeight="1" thickBot="1">
      <c r="B9" s="95"/>
      <c r="G9" s="108"/>
    </row>
    <row r="10" spans="1:7" ht="15" customHeight="1">
      <c r="A10" s="96" t="s">
        <v>168</v>
      </c>
      <c r="B10" s="97"/>
      <c r="C10" s="98"/>
      <c r="D10" s="98"/>
      <c r="E10" s="98"/>
      <c r="F10" s="98"/>
      <c r="G10" s="109"/>
    </row>
    <row r="11" spans="1:7">
      <c r="A11" s="103" t="s">
        <v>169</v>
      </c>
      <c r="B11" s="104">
        <v>0.68500000000000005</v>
      </c>
      <c r="C11" s="105">
        <v>0.67500000000000004</v>
      </c>
      <c r="D11" s="104">
        <v>0.68500000000000005</v>
      </c>
      <c r="E11" s="104">
        <v>0.69499999999999995</v>
      </c>
      <c r="F11" s="106"/>
      <c r="G11" s="110">
        <f>IF($C$2="Bear",C11,IF($C$2="Base",D11,E11))</f>
        <v>0.69499999999999995</v>
      </c>
    </row>
    <row r="12" spans="1:7">
      <c r="G12" s="108"/>
    </row>
    <row r="13" spans="1:7">
      <c r="A13" s="96" t="s">
        <v>170</v>
      </c>
      <c r="B13" s="98"/>
      <c r="C13" s="98"/>
      <c r="D13" s="98"/>
      <c r="E13" s="98"/>
      <c r="F13" s="98"/>
      <c r="G13" s="109"/>
    </row>
    <row r="14" spans="1:7">
      <c r="A14" s="100" t="s">
        <v>171</v>
      </c>
      <c r="B14" s="161">
        <v>0.44500000000000001</v>
      </c>
      <c r="C14" s="161">
        <v>0.45900000000000002</v>
      </c>
      <c r="D14" s="160">
        <v>0.44</v>
      </c>
      <c r="E14" s="161">
        <v>0.42</v>
      </c>
      <c r="F14" s="159"/>
      <c r="G14" s="111">
        <f>IF($C$2="Bear",C14,IF($C$2="Base",D14,E14))</f>
        <v>0.42</v>
      </c>
    </row>
    <row r="15" spans="1:7">
      <c r="A15" s="112" t="s">
        <v>172</v>
      </c>
      <c r="B15" s="166">
        <v>7.0000000000000007E-2</v>
      </c>
      <c r="C15" s="160">
        <v>7.0999999999999994E-2</v>
      </c>
      <c r="D15" s="166">
        <v>7.0000000000000007E-2</v>
      </c>
      <c r="E15" s="161">
        <v>6.9000000000000006E-2</v>
      </c>
      <c r="F15" s="159"/>
      <c r="G15" s="102">
        <f>IF($C$2="Bear",C15,IF($C$2="Base",D15,E15))</f>
        <v>6.9000000000000006E-2</v>
      </c>
    </row>
    <row r="16" spans="1:7" ht="15" customHeight="1">
      <c r="A16" s="100" t="s">
        <v>173</v>
      </c>
      <c r="B16" s="161">
        <v>4.1700000000000001E-2</v>
      </c>
      <c r="C16" s="160">
        <v>4.5999999999999999E-2</v>
      </c>
      <c r="D16" s="161">
        <v>4.4999999999999998E-2</v>
      </c>
      <c r="E16" s="161">
        <v>4.2999999999999997E-2</v>
      </c>
      <c r="F16" s="159"/>
      <c r="G16" s="102">
        <f>IF($C$2="Bear",C16,IF($C$2="Base",D16,E16))</f>
        <v>4.2999999999999997E-2</v>
      </c>
    </row>
    <row r="17" spans="1:7" ht="15" customHeight="1">
      <c r="A17" s="112" t="s">
        <v>174</v>
      </c>
      <c r="B17" s="161">
        <v>1.6E-2</v>
      </c>
      <c r="C17" s="160">
        <v>1.6E-2</v>
      </c>
      <c r="D17" s="161">
        <v>1.6E-2</v>
      </c>
      <c r="E17" s="160">
        <v>1.4999999999999999E-2</v>
      </c>
      <c r="F17" s="159"/>
      <c r="G17" s="113">
        <f>IF($C$2="Bear",C17,IF($C$2="Base",D17,E17))</f>
        <v>1.4999999999999999E-2</v>
      </c>
    </row>
    <row r="18" spans="1:7">
      <c r="A18" s="103" t="s">
        <v>175</v>
      </c>
      <c r="B18" s="106">
        <v>0</v>
      </c>
      <c r="C18" s="106">
        <v>0</v>
      </c>
      <c r="D18" s="106">
        <v>0</v>
      </c>
      <c r="E18" s="106">
        <v>0</v>
      </c>
      <c r="F18" s="106"/>
      <c r="G18" s="114"/>
    </row>
    <row r="19" spans="1:7">
      <c r="G19" s="108"/>
    </row>
    <row r="20" spans="1:7" ht="15" customHeight="1">
      <c r="A20" s="96" t="s">
        <v>176</v>
      </c>
      <c r="B20" s="98"/>
      <c r="C20" s="98"/>
      <c r="D20" s="98"/>
      <c r="E20" s="98"/>
      <c r="F20" s="98"/>
      <c r="G20" s="109"/>
    </row>
    <row r="21" spans="1:7" ht="15" customHeight="1">
      <c r="A21" s="100" t="s">
        <v>177</v>
      </c>
      <c r="B21" s="101">
        <v>0.245</v>
      </c>
      <c r="C21" s="101">
        <v>0.245</v>
      </c>
      <c r="D21" s="101">
        <v>0.245</v>
      </c>
      <c r="E21" s="101">
        <v>0.24</v>
      </c>
      <c r="G21" s="102">
        <f>IF($C$2="Bear",C21,IF($C$2="Base",D21,E21))</f>
        <v>0.24</v>
      </c>
    </row>
    <row r="22" spans="1:7" ht="15" thickBot="1">
      <c r="A22" s="103" t="s">
        <v>178</v>
      </c>
      <c r="B22" s="106">
        <v>550</v>
      </c>
      <c r="C22" s="106">
        <v>550</v>
      </c>
      <c r="D22" s="106">
        <v>540</v>
      </c>
      <c r="E22" s="106">
        <v>530</v>
      </c>
      <c r="F22" s="106"/>
      <c r="G22" s="115">
        <f>IF($C$2="Bear",C22,IF($C$2="Base",D22,E22))</f>
        <v>530</v>
      </c>
    </row>
    <row r="23" spans="1:7" ht="15" customHeight="1" thickBot="1">
      <c r="G23" s="95"/>
    </row>
    <row r="24" spans="1:7" ht="15" customHeight="1">
      <c r="A24" s="116" t="s">
        <v>179</v>
      </c>
      <c r="B24" s="98"/>
      <c r="C24" s="98"/>
      <c r="D24" s="98"/>
      <c r="E24" s="98"/>
      <c r="F24" s="98"/>
      <c r="G24" s="164"/>
    </row>
    <row r="25" spans="1:7" ht="15" thickBot="1">
      <c r="A25" s="117" t="s">
        <v>180</v>
      </c>
      <c r="B25" s="105">
        <v>6.8000000000000005E-2</v>
      </c>
      <c r="C25" s="105">
        <v>6.5000000000000002E-2</v>
      </c>
      <c r="D25" s="104">
        <v>6.5000000000000002E-2</v>
      </c>
      <c r="E25" s="105">
        <v>0.06</v>
      </c>
      <c r="F25" s="106"/>
      <c r="G25" s="110">
        <f>IF($C$2="Bear",C25,IF($C$2="Base",D25,E25))</f>
        <v>0.06</v>
      </c>
    </row>
    <row r="26" spans="1:7" ht="15" thickBot="1">
      <c r="G26" s="95"/>
    </row>
    <row r="27" spans="1:7">
      <c r="A27" s="116" t="s">
        <v>181</v>
      </c>
      <c r="B27" s="98"/>
      <c r="C27" s="98"/>
      <c r="D27" s="98"/>
      <c r="E27" s="98"/>
      <c r="F27" s="98"/>
      <c r="G27" s="109"/>
    </row>
    <row r="28" spans="1:7" ht="15" customHeight="1">
      <c r="A28" s="112" t="s">
        <v>182</v>
      </c>
      <c r="B28" s="159">
        <v>12.6</v>
      </c>
      <c r="C28" s="159">
        <v>12.5</v>
      </c>
      <c r="D28" s="159">
        <v>12.5</v>
      </c>
      <c r="E28" s="159">
        <v>12</v>
      </c>
      <c r="F28" s="159"/>
      <c r="G28" s="167">
        <f>IF($C$2="Bear",C28,IF($C$2="Base",D28,E28))</f>
        <v>12</v>
      </c>
    </row>
    <row r="29" spans="1:7" ht="15" customHeight="1">
      <c r="A29" s="100" t="s">
        <v>183</v>
      </c>
      <c r="B29" s="159">
        <v>61.4</v>
      </c>
      <c r="C29" s="159">
        <v>65</v>
      </c>
      <c r="D29" s="159">
        <v>65</v>
      </c>
      <c r="E29" s="159">
        <v>62</v>
      </c>
      <c r="F29" s="159"/>
      <c r="G29" s="167">
        <f>IF($C$2="Bear",C29,IF($C$2="Base",D29,E29))</f>
        <v>62</v>
      </c>
    </row>
    <row r="30" spans="1:7" ht="15" thickBot="1">
      <c r="A30" s="103" t="s">
        <v>184</v>
      </c>
      <c r="B30" s="106">
        <v>53.2</v>
      </c>
      <c r="C30" s="106">
        <v>58</v>
      </c>
      <c r="D30" s="106">
        <v>58</v>
      </c>
      <c r="E30" s="118">
        <v>55</v>
      </c>
      <c r="F30" s="106"/>
      <c r="G30" s="114">
        <f>IF($C$2="Bear",C30,IF($C$2="Base",D30,E30))</f>
        <v>55</v>
      </c>
    </row>
    <row r="31" spans="1:7" ht="15" customHeight="1" thickBot="1">
      <c r="G31" s="95"/>
    </row>
    <row r="32" spans="1:7">
      <c r="A32" s="116" t="s">
        <v>185</v>
      </c>
      <c r="B32" s="98"/>
      <c r="C32" s="98"/>
      <c r="D32" s="98"/>
      <c r="E32" s="98"/>
      <c r="F32" s="98"/>
      <c r="G32" s="99"/>
    </row>
    <row r="33" spans="1:7" ht="15" thickBot="1">
      <c r="A33" s="117" t="s">
        <v>186</v>
      </c>
      <c r="B33" s="104">
        <v>0.05</v>
      </c>
      <c r="C33" s="104">
        <v>0.03</v>
      </c>
      <c r="D33" s="104">
        <v>0.05</v>
      </c>
      <c r="E33" s="105">
        <v>0.06</v>
      </c>
      <c r="F33" s="106"/>
      <c r="G33" s="119">
        <f>IF($C$2="Bear",C33,IF($C$2="Base",D33,E33))</f>
        <v>0.06</v>
      </c>
    </row>
  </sheetData>
  <dataValidations count="2">
    <dataValidation type="list" allowBlank="1" showInputMessage="1" showErrorMessage="1" sqref="D2 C3" xr:uid="{00000000-0002-0000-0300-000000000000}">
      <formula1>"Bear ,Base,,Bull"</formula1>
      <formula2>0</formula2>
    </dataValidation>
    <dataValidation type="list" allowBlank="1" showInputMessage="1" showErrorMessage="1" sqref="C2" xr:uid="{00000000-0002-0000-0300-000001000000}">
      <formula1>"Bear,base,Bull"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8"/>
  <sheetViews>
    <sheetView topLeftCell="A12" zoomScaleNormal="100" workbookViewId="0">
      <selection activeCell="B4" sqref="B4"/>
    </sheetView>
  </sheetViews>
  <sheetFormatPr defaultColWidth="8.6328125" defaultRowHeight="14.5"/>
  <cols>
    <col min="1" max="1" width="3" customWidth="1"/>
    <col min="2" max="2" width="65.08984375" bestFit="1" customWidth="1"/>
    <col min="3" max="8" width="14" customWidth="1"/>
  </cols>
  <sheetData>
    <row r="1" spans="1:7">
      <c r="A1" s="120"/>
      <c r="B1" s="120"/>
      <c r="C1" s="120"/>
      <c r="D1" s="120"/>
      <c r="E1" s="120"/>
      <c r="F1" s="120"/>
      <c r="G1" s="120"/>
    </row>
    <row r="2" spans="1:7" ht="18">
      <c r="A2" s="120"/>
      <c r="B2" s="157" t="s">
        <v>241</v>
      </c>
      <c r="C2" s="120"/>
      <c r="D2" s="120"/>
      <c r="E2" s="120"/>
      <c r="F2" s="120"/>
      <c r="G2" s="120"/>
    </row>
    <row r="3" spans="1:7">
      <c r="A3" s="120"/>
      <c r="B3" s="156" t="s">
        <v>187</v>
      </c>
      <c r="C3" s="120"/>
      <c r="D3" s="120"/>
      <c r="E3" s="120"/>
      <c r="F3" s="120"/>
      <c r="G3" s="120"/>
    </row>
    <row r="4" spans="1:7" ht="54" customHeight="1">
      <c r="A4" s="120"/>
      <c r="B4" s="121"/>
      <c r="C4" s="120"/>
      <c r="D4" s="120"/>
      <c r="E4" s="120"/>
      <c r="F4" s="120"/>
      <c r="G4" s="120"/>
    </row>
    <row r="5" spans="1:7" ht="15" customHeight="1">
      <c r="A5" s="120"/>
      <c r="B5" s="122" t="s">
        <v>188</v>
      </c>
      <c r="C5" s="120"/>
      <c r="D5" s="120"/>
      <c r="E5" s="120"/>
      <c r="F5" s="120"/>
      <c r="G5" s="120"/>
    </row>
    <row r="6" spans="1:7">
      <c r="A6" s="120"/>
      <c r="B6" s="120"/>
      <c r="C6" s="120"/>
      <c r="D6" s="120"/>
      <c r="E6" s="120"/>
      <c r="F6" s="120"/>
      <c r="G6" s="120"/>
    </row>
    <row r="7" spans="1:7">
      <c r="A7" s="120"/>
      <c r="B7" s="123" t="s">
        <v>189</v>
      </c>
      <c r="C7" s="120"/>
      <c r="D7" s="120"/>
      <c r="E7" s="120"/>
      <c r="F7" s="120"/>
      <c r="G7" s="120"/>
    </row>
    <row r="8" spans="1:7">
      <c r="A8" s="120"/>
      <c r="B8" s="120" t="s">
        <v>190</v>
      </c>
      <c r="C8" s="124">
        <v>4.2999999999999997E-2</v>
      </c>
      <c r="D8" s="120"/>
      <c r="E8" s="120"/>
      <c r="F8" s="120"/>
      <c r="G8" s="120"/>
    </row>
    <row r="9" spans="1:7">
      <c r="A9" s="120"/>
      <c r="B9" s="120" t="s">
        <v>191</v>
      </c>
      <c r="C9" s="125">
        <v>0.9</v>
      </c>
      <c r="D9" s="120"/>
      <c r="E9" s="120"/>
      <c r="F9" s="120"/>
      <c r="G9" s="120"/>
    </row>
    <row r="10" spans="1:7" ht="15" customHeight="1">
      <c r="A10" s="120"/>
      <c r="B10" s="120" t="s">
        <v>192</v>
      </c>
      <c r="C10" s="124">
        <v>5.5E-2</v>
      </c>
      <c r="D10" s="120"/>
      <c r="E10" s="120"/>
      <c r="F10" s="120"/>
      <c r="G10" s="126"/>
    </row>
    <row r="11" spans="1:7" ht="15" customHeight="1">
      <c r="A11" s="120"/>
      <c r="B11" s="120" t="s">
        <v>193</v>
      </c>
      <c r="C11" s="127">
        <f>C8+C9*C10</f>
        <v>9.2499999999999999E-2</v>
      </c>
      <c r="D11" s="120"/>
      <c r="E11" s="120"/>
      <c r="F11" s="120"/>
      <c r="G11" s="120"/>
    </row>
    <row r="12" spans="1:7">
      <c r="A12" s="120"/>
      <c r="B12" s="120"/>
      <c r="C12" s="120"/>
      <c r="D12" s="120"/>
      <c r="E12" s="120"/>
      <c r="F12" s="120"/>
      <c r="G12" s="120"/>
    </row>
    <row r="13" spans="1:7" ht="15" customHeight="1">
      <c r="A13" s="120"/>
      <c r="B13" s="123" t="s">
        <v>194</v>
      </c>
      <c r="C13" s="120"/>
      <c r="D13" s="120"/>
      <c r="E13" s="120"/>
      <c r="F13" s="120"/>
      <c r="G13" s="128"/>
    </row>
    <row r="14" spans="1:7">
      <c r="A14" s="120"/>
      <c r="B14" s="120" t="s">
        <v>195</v>
      </c>
      <c r="C14" s="129">
        <f>-IS!G17</f>
        <v>550</v>
      </c>
      <c r="D14" s="120"/>
      <c r="E14" s="120"/>
      <c r="F14" s="120"/>
      <c r="G14" s="120"/>
    </row>
    <row r="15" spans="1:7" ht="35.25" customHeight="1">
      <c r="A15" s="120"/>
      <c r="B15" s="120" t="s">
        <v>196</v>
      </c>
      <c r="C15" s="129">
        <f>'Balance Sheet'!F26+'Balance Sheet'!F28</f>
        <v>16074.8</v>
      </c>
      <c r="D15" s="120"/>
      <c r="E15" s="120"/>
      <c r="F15" s="120"/>
      <c r="G15" s="120"/>
    </row>
    <row r="16" spans="1:7" ht="99.75" customHeight="1">
      <c r="A16" s="120"/>
      <c r="B16" s="130" t="s">
        <v>197</v>
      </c>
      <c r="C16" s="131">
        <f>C14/C15</f>
        <v>3.4215044666185586E-2</v>
      </c>
      <c r="D16" s="120"/>
      <c r="E16" s="120"/>
      <c r="F16" s="120"/>
      <c r="G16" s="120"/>
    </row>
    <row r="17" spans="1:7">
      <c r="A17" s="120"/>
      <c r="B17" s="120" t="s">
        <v>198</v>
      </c>
      <c r="C17" s="132">
        <f>Assumption!$G$21</f>
        <v>0.24</v>
      </c>
      <c r="D17" s="120"/>
      <c r="E17" s="120"/>
      <c r="F17" s="120"/>
      <c r="G17" s="120"/>
    </row>
    <row r="18" spans="1:7">
      <c r="A18" s="120"/>
      <c r="B18" s="120" t="s">
        <v>199</v>
      </c>
      <c r="C18" s="127">
        <f>C16*(1-C17)</f>
        <v>2.6003433946301044E-2</v>
      </c>
      <c r="D18" s="120"/>
      <c r="E18" s="120"/>
      <c r="F18" s="120"/>
      <c r="G18" s="120"/>
    </row>
    <row r="19" spans="1:7">
      <c r="A19" s="120"/>
      <c r="B19" s="120"/>
      <c r="C19" s="120"/>
      <c r="D19" s="120"/>
      <c r="E19" s="120"/>
      <c r="F19" s="120"/>
      <c r="G19" s="120"/>
    </row>
    <row r="20" spans="1:7">
      <c r="A20" s="120"/>
      <c r="B20" s="123" t="s">
        <v>200</v>
      </c>
      <c r="C20" s="120"/>
      <c r="D20" s="120"/>
      <c r="E20" s="120"/>
      <c r="F20" s="120"/>
      <c r="G20" s="120"/>
    </row>
    <row r="21" spans="1:7">
      <c r="A21" s="120"/>
      <c r="B21" s="120" t="s">
        <v>201</v>
      </c>
      <c r="C21" s="133">
        <v>105</v>
      </c>
      <c r="D21" s="120"/>
      <c r="E21" s="120"/>
      <c r="F21" s="120"/>
      <c r="G21" s="120"/>
    </row>
    <row r="22" spans="1:7">
      <c r="A22" s="120"/>
      <c r="B22" s="120" t="s">
        <v>202</v>
      </c>
      <c r="C22" s="134">
        <f>IS!G26</f>
        <v>1136</v>
      </c>
      <c r="D22" s="120"/>
      <c r="E22" s="120"/>
      <c r="F22" s="120"/>
      <c r="G22" s="120"/>
    </row>
    <row r="23" spans="1:7">
      <c r="A23" s="120"/>
      <c r="B23" s="120" t="s">
        <v>203</v>
      </c>
      <c r="C23" s="135">
        <f>C21*C22</f>
        <v>119280</v>
      </c>
      <c r="D23" s="120"/>
      <c r="E23" s="120"/>
      <c r="F23" s="120"/>
      <c r="G23" s="120"/>
    </row>
    <row r="24" spans="1:7" ht="15" customHeight="1">
      <c r="A24" s="120"/>
      <c r="B24" s="120" t="s">
        <v>204</v>
      </c>
      <c r="C24" s="135">
        <f>C15</f>
        <v>16074.8</v>
      </c>
      <c r="D24" s="120"/>
      <c r="E24" s="120"/>
      <c r="F24" s="120"/>
      <c r="G24" s="120"/>
    </row>
    <row r="25" spans="1:7">
      <c r="A25" s="120"/>
      <c r="B25" s="120" t="s">
        <v>205</v>
      </c>
      <c r="C25" s="136">
        <f>C23+C24</f>
        <v>135354.79999999999</v>
      </c>
      <c r="D25" s="120"/>
      <c r="E25" s="120"/>
      <c r="F25" s="120"/>
      <c r="G25" s="120"/>
    </row>
    <row r="26" spans="1:7">
      <c r="A26" s="120"/>
      <c r="B26" s="120" t="s">
        <v>206</v>
      </c>
      <c r="C26" s="137">
        <f>C23/C25</f>
        <v>0.88123952752322054</v>
      </c>
      <c r="D26" s="120"/>
      <c r="E26" s="120"/>
      <c r="F26" s="120"/>
      <c r="G26" s="120"/>
    </row>
    <row r="27" spans="1:7">
      <c r="A27" s="120"/>
      <c r="B27" s="120" t="s">
        <v>207</v>
      </c>
      <c r="C27" s="137">
        <f>C24/C25</f>
        <v>0.11876047247677955</v>
      </c>
      <c r="D27" s="120"/>
      <c r="E27" s="120"/>
      <c r="F27" s="120"/>
      <c r="G27" s="120"/>
    </row>
    <row r="28" spans="1:7">
      <c r="A28" s="120"/>
      <c r="B28" s="120"/>
      <c r="C28" s="120"/>
      <c r="D28" s="120"/>
      <c r="E28" s="120"/>
      <c r="F28" s="120"/>
      <c r="G28" s="120"/>
    </row>
    <row r="29" spans="1:7">
      <c r="A29" s="120"/>
      <c r="B29" s="123" t="s">
        <v>208</v>
      </c>
      <c r="C29" s="138">
        <f>C26*C11+C27*C18</f>
        <v>8.4602836397379338E-2</v>
      </c>
      <c r="D29" s="120"/>
      <c r="E29" s="120"/>
      <c r="F29" s="120"/>
      <c r="G29" s="120"/>
    </row>
    <row r="30" spans="1:7">
      <c r="A30" s="120"/>
      <c r="B30" s="120"/>
      <c r="C30" s="120"/>
      <c r="D30" s="120"/>
      <c r="E30" s="120"/>
      <c r="F30" s="120"/>
      <c r="G30" s="120"/>
    </row>
    <row r="31" spans="1:7">
      <c r="A31" s="120"/>
      <c r="B31" s="120"/>
      <c r="C31" s="120"/>
      <c r="D31" s="120"/>
      <c r="E31" s="120"/>
      <c r="F31" s="120"/>
      <c r="G31" s="120"/>
    </row>
    <row r="32" spans="1:7">
      <c r="A32" s="120"/>
      <c r="B32" s="122" t="s">
        <v>209</v>
      </c>
      <c r="C32" s="120"/>
      <c r="D32" s="120"/>
      <c r="E32" s="120"/>
      <c r="F32" s="120"/>
      <c r="G32" s="120"/>
    </row>
    <row r="33" spans="1:8">
      <c r="A33" s="120"/>
      <c r="B33" s="120"/>
      <c r="C33" s="120"/>
      <c r="D33" s="120"/>
      <c r="E33" s="120"/>
      <c r="F33" s="120"/>
      <c r="G33" s="120"/>
    </row>
    <row r="34" spans="1:8">
      <c r="A34" s="120"/>
      <c r="B34" s="120"/>
      <c r="C34" s="120"/>
      <c r="D34" s="139">
        <v>2026</v>
      </c>
      <c r="E34" s="139">
        <v>2027</v>
      </c>
      <c r="F34" s="139">
        <v>2028</v>
      </c>
      <c r="G34" s="139">
        <v>2029</v>
      </c>
      <c r="H34" s="139">
        <v>2030</v>
      </c>
    </row>
    <row r="35" spans="1:8">
      <c r="A35" s="120"/>
      <c r="B35" s="120" t="s">
        <v>210</v>
      </c>
      <c r="C35" s="120"/>
      <c r="D35" s="129">
        <f>'Cash Flow '!G24</f>
        <v>7305.5450078947943</v>
      </c>
      <c r="E35" s="129">
        <f>'Cash Flow '!H24</f>
        <v>8017.1131561487982</v>
      </c>
      <c r="F35" s="129">
        <f>'Cash Flow '!I24</f>
        <v>8180.6227306746459</v>
      </c>
      <c r="G35" s="129">
        <f>'Cash Flow '!J24</f>
        <v>8748.7038724882641</v>
      </c>
      <c r="H35" s="129">
        <f>'Cash Flow '!K24</f>
        <v>9302.5846275767162</v>
      </c>
    </row>
    <row r="36" spans="1:8" ht="15" customHeight="1">
      <c r="A36" s="120"/>
      <c r="B36" s="120" t="s">
        <v>211</v>
      </c>
      <c r="C36" s="120"/>
      <c r="D36" s="129">
        <f>-'Cash Flow '!G29</f>
        <v>2387.23848</v>
      </c>
      <c r="E36" s="129">
        <f>-'Cash Flow '!H29</f>
        <v>2554.3451736000006</v>
      </c>
      <c r="F36" s="129">
        <f>-'Cash Flow '!I29</f>
        <v>2733.1493357520008</v>
      </c>
      <c r="G36" s="129">
        <f>-'Cash Flow '!J29</f>
        <v>2965.4670292909209</v>
      </c>
      <c r="H36" s="129">
        <f>-'Cash Flow '!K29</f>
        <v>3173.0497213412859</v>
      </c>
    </row>
    <row r="37" spans="1:8">
      <c r="A37" s="120"/>
      <c r="B37" s="123" t="s">
        <v>212</v>
      </c>
      <c r="C37" s="120"/>
      <c r="D37" s="140">
        <f>D35-D36</f>
        <v>4918.3065278947943</v>
      </c>
      <c r="E37" s="140">
        <f>E35-E36</f>
        <v>5462.7679825487976</v>
      </c>
      <c r="F37" s="140">
        <f>F35-F36</f>
        <v>5447.4733949226447</v>
      </c>
      <c r="G37" s="140">
        <f>G35-G36</f>
        <v>5783.2368431973428</v>
      </c>
      <c r="H37" s="140">
        <f>H35-H36</f>
        <v>6129.5349062354308</v>
      </c>
    </row>
    <row r="38" spans="1:8" ht="15" customHeight="1">
      <c r="A38" s="120"/>
      <c r="B38" s="120"/>
      <c r="C38" s="120"/>
      <c r="D38" s="120"/>
      <c r="E38" s="120"/>
      <c r="F38" s="120"/>
      <c r="G38" s="120"/>
    </row>
    <row r="39" spans="1:8">
      <c r="A39" s="120"/>
      <c r="B39" s="120"/>
      <c r="C39" s="120"/>
      <c r="D39" s="120"/>
      <c r="E39" s="120"/>
      <c r="F39" s="120"/>
      <c r="G39" s="120"/>
    </row>
    <row r="40" spans="1:8">
      <c r="A40" s="120"/>
      <c r="B40" s="122" t="s">
        <v>213</v>
      </c>
      <c r="C40" s="120"/>
      <c r="D40" s="120"/>
      <c r="E40" s="120"/>
      <c r="F40" s="120"/>
      <c r="G40" s="120"/>
    </row>
    <row r="41" spans="1:8">
      <c r="A41" s="120"/>
      <c r="B41" s="120"/>
      <c r="C41" s="120"/>
      <c r="D41" s="120"/>
      <c r="E41" s="120"/>
      <c r="F41" s="120"/>
      <c r="G41" s="120"/>
    </row>
    <row r="42" spans="1:8" ht="15" customHeight="1">
      <c r="A42" s="120"/>
      <c r="B42" s="120" t="s">
        <v>214</v>
      </c>
      <c r="C42" s="124">
        <v>2.5000000000000001E-2</v>
      </c>
      <c r="D42" s="120"/>
      <c r="E42" s="120"/>
      <c r="F42" s="120"/>
      <c r="G42" s="120"/>
    </row>
    <row r="43" spans="1:8" ht="15" customHeight="1">
      <c r="A43" s="120"/>
      <c r="B43" s="120" t="s">
        <v>215</v>
      </c>
      <c r="C43" s="137">
        <f>C29</f>
        <v>8.4602836397379338E-2</v>
      </c>
      <c r="D43" s="120"/>
      <c r="E43" s="120"/>
      <c r="F43" s="120"/>
      <c r="G43" s="120"/>
    </row>
    <row r="44" spans="1:8">
      <c r="A44" s="120"/>
      <c r="B44" s="120" t="s">
        <v>216</v>
      </c>
      <c r="C44" s="140">
        <f>H37*(1+C42)/(C43-C42)</f>
        <v>105410.64249028864</v>
      </c>
      <c r="D44" s="120"/>
      <c r="E44" s="120"/>
      <c r="F44" s="120"/>
      <c r="G44" s="120"/>
    </row>
    <row r="45" spans="1:8">
      <c r="A45" s="120"/>
      <c r="B45" s="120"/>
      <c r="C45" s="120"/>
      <c r="D45" s="120"/>
      <c r="E45" s="120"/>
      <c r="F45" s="120"/>
      <c r="G45" s="120"/>
    </row>
    <row r="46" spans="1:8">
      <c r="A46" s="120"/>
      <c r="B46" s="120"/>
      <c r="C46" s="120"/>
      <c r="D46" s="120"/>
      <c r="E46" s="120"/>
      <c r="F46" s="120"/>
      <c r="G46" s="120"/>
    </row>
    <row r="47" spans="1:8">
      <c r="A47" s="120"/>
      <c r="B47" s="122" t="s">
        <v>217</v>
      </c>
      <c r="C47" s="120"/>
      <c r="D47" s="120"/>
      <c r="E47" s="120"/>
      <c r="F47" s="120"/>
      <c r="G47" s="120"/>
    </row>
    <row r="48" spans="1:8">
      <c r="A48" s="120"/>
      <c r="B48" s="120"/>
      <c r="C48" s="120"/>
      <c r="D48" s="120"/>
      <c r="E48" s="120"/>
      <c r="F48" s="120"/>
      <c r="G48" s="120"/>
    </row>
    <row r="49" spans="1:8">
      <c r="A49" s="120"/>
      <c r="B49" s="120" t="s">
        <v>218</v>
      </c>
      <c r="C49" s="120"/>
      <c r="D49" s="141">
        <v>1</v>
      </c>
      <c r="E49" s="141">
        <v>2</v>
      </c>
      <c r="F49" s="141">
        <v>3</v>
      </c>
      <c r="G49" s="141">
        <v>4</v>
      </c>
      <c r="H49" s="141">
        <v>5</v>
      </c>
    </row>
    <row r="50" spans="1:8">
      <c r="A50" s="120"/>
      <c r="B50" s="120" t="s">
        <v>219</v>
      </c>
      <c r="C50" s="120"/>
      <c r="D50" s="142">
        <f>1/(1+$C$29)^D49</f>
        <v>0.92199648243739019</v>
      </c>
      <c r="E50" s="142">
        <f>1/(1+$C$29)^E49</f>
        <v>0.85007751362692074</v>
      </c>
      <c r="F50" s="142">
        <f>1/(1+$C$29)^F49</f>
        <v>0.78376847736314359</v>
      </c>
      <c r="G50" s="142">
        <f>1/(1+$C$29)^G49</f>
        <v>0.72263177917412769</v>
      </c>
      <c r="H50" s="143">
        <f>1/(1+$C$29)^H49</f>
        <v>0.66626395849601872</v>
      </c>
    </row>
    <row r="51" spans="1:8" ht="15" customHeight="1">
      <c r="A51" s="120"/>
      <c r="B51" s="120" t="s">
        <v>220</v>
      </c>
      <c r="C51" s="120"/>
      <c r="D51" s="135">
        <f>D37*D50</f>
        <v>4534.6613182678539</v>
      </c>
      <c r="E51" s="135">
        <f>E37*E50</f>
        <v>4643.7762241258315</v>
      </c>
      <c r="F51" s="135">
        <f>F37*F50</f>
        <v>4269.5579282147555</v>
      </c>
      <c r="G51" s="135">
        <f>G37*G50</f>
        <v>4179.1507293850618</v>
      </c>
      <c r="H51" s="144">
        <f>H37*H50</f>
        <v>4083.8881903679412</v>
      </c>
    </row>
    <row r="52" spans="1:8" ht="15" customHeight="1">
      <c r="A52" s="120"/>
      <c r="B52" s="120"/>
      <c r="C52" s="120"/>
      <c r="D52" s="120"/>
      <c r="E52" s="120"/>
      <c r="F52" s="120"/>
      <c r="G52" s="120"/>
    </row>
    <row r="53" spans="1:8">
      <c r="A53" s="120"/>
      <c r="B53" s="120" t="s">
        <v>221</v>
      </c>
      <c r="C53" s="145">
        <f>SUM(D51:H51)</f>
        <v>21711.034390361441</v>
      </c>
      <c r="D53" s="120"/>
      <c r="E53" s="120"/>
      <c r="F53" s="120"/>
      <c r="G53" s="120"/>
    </row>
    <row r="54" spans="1:8">
      <c r="A54" s="120"/>
      <c r="B54" s="120" t="s">
        <v>222</v>
      </c>
      <c r="C54" s="145">
        <f>C44*H50</f>
        <v>70231.311933188335</v>
      </c>
      <c r="D54" s="120"/>
      <c r="E54" s="120"/>
      <c r="F54" s="120"/>
      <c r="G54" s="120"/>
    </row>
    <row r="55" spans="1:8" ht="15" customHeight="1">
      <c r="A55" s="120"/>
      <c r="B55" s="120" t="s">
        <v>223</v>
      </c>
      <c r="C55" s="146">
        <f>C53+C54</f>
        <v>91942.346323549777</v>
      </c>
      <c r="D55" s="120"/>
      <c r="E55" s="120"/>
      <c r="F55" s="120"/>
      <c r="G55" s="120"/>
    </row>
    <row r="56" spans="1:8" ht="15" customHeight="1">
      <c r="A56" s="120"/>
      <c r="B56" s="120"/>
      <c r="C56" s="120"/>
      <c r="D56" s="120"/>
      <c r="E56" s="120"/>
      <c r="F56" s="120"/>
      <c r="G56" s="120"/>
    </row>
    <row r="57" spans="1:8">
      <c r="A57" s="120"/>
      <c r="B57" s="120" t="s">
        <v>224</v>
      </c>
      <c r="C57" s="129">
        <f>C15</f>
        <v>16074.8</v>
      </c>
      <c r="D57" s="120"/>
      <c r="E57" s="120"/>
      <c r="F57" s="120"/>
      <c r="G57" s="120"/>
    </row>
    <row r="58" spans="1:8">
      <c r="A58" s="120"/>
      <c r="B58" s="120" t="s">
        <v>225</v>
      </c>
      <c r="C58" s="129">
        <f>'Balance Sheet'!F4+'Balance Sheet'!F5</f>
        <v>5893.1225278947941</v>
      </c>
      <c r="D58" s="120"/>
      <c r="E58" s="120"/>
      <c r="F58" s="120"/>
      <c r="G58" s="120"/>
    </row>
    <row r="59" spans="1:8" ht="15" customHeight="1">
      <c r="A59" s="120"/>
      <c r="B59" s="120" t="s">
        <v>226</v>
      </c>
      <c r="C59" s="147">
        <f>C55-C57+C58</f>
        <v>81760.66885144457</v>
      </c>
      <c r="D59" s="120"/>
      <c r="E59" s="120"/>
      <c r="F59" s="120"/>
      <c r="G59" s="120"/>
    </row>
    <row r="60" spans="1:8" ht="15" customHeight="1">
      <c r="A60" s="120"/>
      <c r="B60" s="120" t="s">
        <v>202</v>
      </c>
      <c r="C60" s="148">
        <f>C22</f>
        <v>1136</v>
      </c>
      <c r="D60" s="120"/>
      <c r="E60" s="120"/>
      <c r="F60" s="120"/>
      <c r="G60" s="120"/>
    </row>
    <row r="61" spans="1:8" ht="15.5">
      <c r="A61" s="120"/>
      <c r="B61" s="120" t="s">
        <v>227</v>
      </c>
      <c r="C61" s="149">
        <f>C59/C60</f>
        <v>71.972419763595568</v>
      </c>
      <c r="D61" s="120"/>
      <c r="E61" s="120"/>
      <c r="F61" s="120"/>
      <c r="G61" s="120"/>
    </row>
    <row r="62" spans="1:8">
      <c r="A62" s="120"/>
      <c r="B62" s="120" t="s">
        <v>228</v>
      </c>
      <c r="C62" s="150">
        <f>C21</f>
        <v>105</v>
      </c>
      <c r="D62" s="120"/>
      <c r="E62" s="120"/>
      <c r="F62" s="120"/>
      <c r="G62" s="120"/>
    </row>
    <row r="63" spans="1:8">
      <c r="A63" s="120"/>
      <c r="B63" s="120" t="s">
        <v>229</v>
      </c>
      <c r="C63" s="151">
        <f>C61/C62-1</f>
        <v>-0.3145483832038517</v>
      </c>
      <c r="D63" s="120"/>
      <c r="E63" s="120"/>
      <c r="F63" s="120"/>
      <c r="G63" s="120"/>
    </row>
    <row r="64" spans="1:8">
      <c r="A64" s="120"/>
      <c r="B64" s="120"/>
      <c r="C64" s="120"/>
      <c r="D64" s="120"/>
      <c r="E64" s="120"/>
      <c r="F64" s="120"/>
      <c r="G64" s="120"/>
    </row>
    <row r="65" spans="1:7">
      <c r="A65" s="120"/>
      <c r="B65" s="120"/>
      <c r="C65" s="120"/>
      <c r="D65" s="120"/>
      <c r="E65" s="120"/>
      <c r="F65" s="120"/>
      <c r="G65" s="120"/>
    </row>
    <row r="66" spans="1:7">
      <c r="A66" s="120"/>
      <c r="B66" s="123" t="s">
        <v>230</v>
      </c>
      <c r="C66" s="120"/>
      <c r="D66" s="120"/>
      <c r="E66" s="120"/>
      <c r="F66" s="152"/>
      <c r="G66" s="120"/>
    </row>
    <row r="67" spans="1:7">
      <c r="A67" s="120"/>
      <c r="B67" s="153" t="s">
        <v>231</v>
      </c>
      <c r="C67" s="120"/>
      <c r="D67" s="120"/>
      <c r="E67" s="120"/>
      <c r="F67" s="152"/>
      <c r="G67" s="120"/>
    </row>
    <row r="68" spans="1:7">
      <c r="A68" s="120"/>
      <c r="B68" s="154" t="s">
        <v>232</v>
      </c>
      <c r="C68" s="120"/>
      <c r="D68" s="120"/>
      <c r="E68" s="120"/>
      <c r="F68" s="152"/>
      <c r="G68" s="120"/>
    </row>
    <row r="69" spans="1:7" ht="15" customHeight="1">
      <c r="A69" s="120"/>
      <c r="B69" s="155" t="s">
        <v>233</v>
      </c>
      <c r="C69" s="120"/>
      <c r="D69" s="120"/>
      <c r="E69" s="120"/>
      <c r="F69" s="120"/>
      <c r="G69" s="120"/>
    </row>
    <row r="72" spans="1:7">
      <c r="B72" s="156" t="s">
        <v>234</v>
      </c>
    </row>
    <row r="73" spans="1:7">
      <c r="B73" t="s">
        <v>235</v>
      </c>
    </row>
    <row r="74" spans="1:7">
      <c r="B74" t="s">
        <v>236</v>
      </c>
    </row>
    <row r="75" spans="1:7">
      <c r="B75" t="s">
        <v>237</v>
      </c>
    </row>
    <row r="76" spans="1:7">
      <c r="B76" t="s">
        <v>238</v>
      </c>
    </row>
    <row r="77" spans="1:7">
      <c r="B77" t="s">
        <v>239</v>
      </c>
    </row>
    <row r="78" spans="1:7">
      <c r="B78" t="s">
        <v>240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</vt:lpstr>
      <vt:lpstr>Balance Sheet</vt:lpstr>
      <vt:lpstr>Cash Flow </vt:lpstr>
      <vt:lpstr>Assumption</vt:lpstr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maheshwari</dc:creator>
  <dc:description/>
  <cp:lastModifiedBy>Harshit Maheshwari</cp:lastModifiedBy>
  <cp:revision>0</cp:revision>
  <dcterms:created xsi:type="dcterms:W3CDTF">2026-04-23T06:01:07Z</dcterms:created>
  <dcterms:modified xsi:type="dcterms:W3CDTF">2026-09-06T19:13:23Z</dcterms:modified>
  <dc:language>en-US</dc:language>
</cp:coreProperties>
</file>